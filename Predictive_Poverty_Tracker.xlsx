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tahne/Downloads/"/>
    </mc:Choice>
  </mc:AlternateContent>
  <xr:revisionPtr revIDLastSave="0" documentId="13_ncr:1_{AB756CA4-492E-764B-ACEC-871472ACA2B0}" xr6:coauthVersionLast="47" xr6:coauthVersionMax="47" xr10:uidLastSave="{00000000-0000-0000-0000-000000000000}"/>
  <bookViews>
    <workbookView xWindow="0" yWindow="760" windowWidth="30240" windowHeight="17760" tabRatio="500" xr2:uid="{00000000-000D-0000-FFFF-FFFF00000000}"/>
  </bookViews>
  <sheets>
    <sheet name="📊 Master Data Points" sheetId="1" r:id="rId1"/>
    <sheet name="📏 Poverty Metrics Comparison" sheetId="2" r:id="rId2"/>
    <sheet name="🔬 Predictive Models" sheetId="3" r:id="rId3"/>
    <sheet name="🗄️ Data Governance" sheetId="4" r:id="rId4"/>
    <sheet name="🔧 Conversion Tools" sheetId="5" r:id="rId5"/>
    <sheet name="📋 Framework &amp; Hypothesis" sheetId="6" r:id="rId6"/>
    <sheet name="📖 Legend &amp; Guide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1" i="5" l="1"/>
  <c r="F40" i="5"/>
  <c r="F39" i="5"/>
  <c r="F38" i="5"/>
  <c r="F37" i="5"/>
  <c r="F36" i="5"/>
  <c r="F35" i="5"/>
  <c r="F42" i="5" s="1"/>
  <c r="F34" i="5"/>
  <c r="D29" i="5"/>
  <c r="C29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B17" i="5"/>
  <c r="B7" i="5"/>
  <c r="B9" i="5" s="1"/>
</calcChain>
</file>

<file path=xl/sharedStrings.xml><?xml version="1.0" encoding="utf-8"?>
<sst xmlns="http://schemas.openxmlformats.org/spreadsheetml/2006/main" count="815" uniqueCount="584">
  <si>
    <t>PREDICTIVE POVERTY TRACKING PROJECT — MASTER DATA POINT REGISTRY</t>
  </si>
  <si>
    <t>Multidimensional Microeconomic Indicators for Neighborhood-Level Poverty Prediction</t>
  </si>
  <si>
    <t>Data Point ID</t>
  </si>
  <si>
    <t>Category</t>
  </si>
  <si>
    <t>Indicator Name</t>
  </si>
  <si>
    <t>Definition / What It Measures</t>
  </si>
  <si>
    <t>Signal Type</t>
  </si>
  <si>
    <t>Data Source</t>
  </si>
  <si>
    <t>Geographic Level</t>
  </si>
  <si>
    <t>Update Frequency</t>
  </si>
  <si>
    <t>Predictive Lead Time</t>
  </si>
  <si>
    <t>Priority Score (1–5)</t>
  </si>
  <si>
    <t>H1</t>
  </si>
  <si>
    <t>Housing Instability</t>
  </si>
  <si>
    <t>Eviction Filing Rate</t>
  </si>
  <si>
    <t>Number of eviction cases filed per 100 renter households; high rates signal broad economic pressure even without a judgment</t>
  </si>
  <si>
    <t>Leading</t>
  </si>
  <si>
    <t>Eviction Lab / Local Judiciary</t>
  </si>
  <si>
    <t>Census Tract</t>
  </si>
  <si>
    <t>Monthly</t>
  </si>
  <si>
    <t>60–90 days</t>
  </si>
  <si>
    <t>H2</t>
  </si>
  <si>
    <t>Serial Eviction Filings</t>
  </si>
  <si>
    <t>Count of landlords filing repeatedly against the same tenant; signals extractive management and neighborhood disinvestment</t>
  </si>
  <si>
    <t>Eviction Lab</t>
  </si>
  <si>
    <t>30–60 days</t>
  </si>
  <si>
    <t>H3</t>
  </si>
  <si>
    <t>Back Rent Threshold (Avg $)</t>
  </si>
  <si>
    <t>Average dollar amount owed at filing; cases under $1,000 signal lack of emergency liquidity</t>
  </si>
  <si>
    <t>Local Court Records</t>
  </si>
  <si>
    <t>ZIP Code</t>
  </si>
  <si>
    <t>Quarterly</t>
  </si>
  <si>
    <t>60 days</t>
  </si>
  <si>
    <t>H4</t>
  </si>
  <si>
    <t>Corporate Owner Tax Delinquency Rate</t>
  </si>
  <si>
    <t>% of corporate-owned rental properties with delinquent property taxes; predicts violent crime and social cohesion breakdown</t>
  </si>
  <si>
    <t>County Tax Records</t>
  </si>
  <si>
    <t>Neighborhood</t>
  </si>
  <si>
    <t>90–120 days</t>
  </si>
  <si>
    <t>H5</t>
  </si>
  <si>
    <t>Shelter Application Rate</t>
  </si>
  <si>
    <t>Applications for emergency shelter per 1,000 residents; lagging signal of household collapse</t>
  </si>
  <si>
    <t>Lagging</t>
  </si>
  <si>
    <t>HUD CoC Data</t>
  </si>
  <si>
    <t>City/County</t>
  </si>
  <si>
    <t>N/A — concurrent</t>
  </si>
  <si>
    <t>H6</t>
  </si>
  <si>
    <t>Vacancy Rate (Distressed)</t>
  </si>
  <si>
    <t>% of housing units vacant 90+ days in low-income tracts; measures disinvestment</t>
  </si>
  <si>
    <t>Concurrent</t>
  </si>
  <si>
    <t>U.S. Census ACS</t>
  </si>
  <si>
    <t>Annual</t>
  </si>
  <si>
    <t>N/A</t>
  </si>
  <si>
    <t>H7</t>
  </si>
  <si>
    <t>Rent-Burden Rate (&gt;50% Income on Rent)</t>
  </si>
  <si>
    <t>% households spending over 50% of income on rent; identifies severely cost-burdened households</t>
  </si>
  <si>
    <t>ACS / HUD</t>
  </si>
  <si>
    <t>E1</t>
  </si>
  <si>
    <t>Energy Insecurity</t>
  </si>
  <si>
    <t>Final Disconnection Notice Volume</t>
  </si>
  <si>
    <t>Number of households receiving utility shutoff warnings; leading real-time indicator of household stress</t>
  </si>
  <si>
    <t>Utility Providers / DOER</t>
  </si>
  <si>
    <t>E2</t>
  </si>
  <si>
    <t>Utility Disconnection Rate</t>
  </si>
  <si>
    <t>% of households that actually lose electricity/gas/water service; lagging indicator of absolute insolvency</t>
  </si>
  <si>
    <t>Utility Providers</t>
  </si>
  <si>
    <t>E3</t>
  </si>
  <si>
    <t>Utility Arrearages (Avg $ Owed)</t>
  </si>
  <si>
    <t>Total unpaid utility debt per household; $100+ threshold signals proximity to shutoff</t>
  </si>
  <si>
    <t>Utility Providers / NYC Poverty Tracker</t>
  </si>
  <si>
    <t>30 days</t>
  </si>
  <si>
    <t>E4</t>
  </si>
  <si>
    <t>Thermal Discomfort Self-Report Rate</t>
  </si>
  <si>
    <t>% households reporting keeping home at unhealthy temperatures to save costs</t>
  </si>
  <si>
    <t>EIA RECS Survey / Local Surveys</t>
  </si>
  <si>
    <t>MSA</t>
  </si>
  <si>
    <t>E5</t>
  </si>
  <si>
    <t>LIHEAP Application Rate</t>
  </si>
  <si>
    <t>Applications to the Low Income Home Energy Assistance Program per 1,000 HHs; proxy for energy poverty prevalence</t>
  </si>
  <si>
    <t>HHS/LIHEAP</t>
  </si>
  <si>
    <t>County</t>
  </si>
  <si>
    <t>30–90 days</t>
  </si>
  <si>
    <t>F1</t>
  </si>
  <si>
    <t>Financial Predation</t>
  </si>
  <si>
    <t>Payday Lender Storefront Density</t>
  </si>
  <si>
    <t>Number of payday/title loan storefronts per square mile; cluster in high-poverty, low-bank-branch areas</t>
  </si>
  <si>
    <t>CFPB / Local License Records</t>
  </si>
  <si>
    <t>F2</t>
  </si>
  <si>
    <t>Payday Loan Inquiry Volume</t>
  </si>
  <si>
    <t>Real-time count of payday credit inquiries; spikes 1–2 years before formal eviction</t>
  </si>
  <si>
    <t>CFPB / FinTech APIs</t>
  </si>
  <si>
    <t>12–24 months</t>
  </si>
  <si>
    <t>F3</t>
  </si>
  <si>
    <t>Neighborhood Average Credit Score</t>
  </si>
  <si>
    <t>Mean credit score across residents; proxy for access to mainstream financial markets and cost of living</t>
  </si>
  <si>
    <t>Credit Bureaus (Experian/TransUnion)</t>
  </si>
  <si>
    <t>F4</t>
  </si>
  <si>
    <t>Debt-in-Collections Rate</t>
  </si>
  <si>
    <t>% residents with bills sent to third-party collectors; signals cascading financial failure</t>
  </si>
  <si>
    <t>CFPB / Urban Institute</t>
  </si>
  <si>
    <t>F5</t>
  </si>
  <si>
    <t>Bank Branch Density</t>
  </si>
  <si>
    <t>Number of FDIC-insured bank branches per 10,000 residents; low density predicts payday lender influx</t>
  </si>
  <si>
    <t>FDIC Summary of Deposits</t>
  </si>
  <si>
    <t>F6</t>
  </si>
  <si>
    <t>Subprime Credit Share</t>
  </si>
  <si>
    <t>% of local credit accounts classified as subprime (&lt;620 score); measures depth of credit exclusion</t>
  </si>
  <si>
    <t>CFPB Consumer Credit Panel</t>
  </si>
  <si>
    <t>D1</t>
  </si>
  <si>
    <t>Digital Poverty</t>
  </si>
  <si>
    <t>Broadband Subscription Rate</t>
  </si>
  <si>
    <t>% households with fixed high-speed internet; lower rates = longer re-employment times</t>
  </si>
  <si>
    <t>FCC / ACS</t>
  </si>
  <si>
    <t>D2</t>
  </si>
  <si>
    <t>Smartphone-Only Internet Dependency</t>
  </si>
  <si>
    <t>% households that access the internet exclusively via phone data; limits educational and professional outcomes</t>
  </si>
  <si>
    <t>ACS / Pew Research</t>
  </si>
  <si>
    <t>D3</t>
  </si>
  <si>
    <t>MDLS Deficit Score</t>
  </si>
  <si>
    <t>Minimum Digital Living Standard deficit: composite score of hardware/software/skills gaps</t>
  </si>
  <si>
    <t>Local Surveys / ACS Proxy</t>
  </si>
  <si>
    <t>D4</t>
  </si>
  <si>
    <t>Library Internet Use Rate</t>
  </si>
  <si>
    <t>Visits per capita to public library internet terminals; proxy for home connectivity deprivation</t>
  </si>
  <si>
    <t>IMLS Public Library Survey</t>
  </si>
  <si>
    <t>L1</t>
  </si>
  <si>
    <t>Labor &amp; Income</t>
  </si>
  <si>
    <t>Neighborhood Unemployment Rate</t>
  </si>
  <si>
    <t>% of labor force actively unemployed in defined tract; broader than official U-3 rate</t>
  </si>
  <si>
    <t>BLS LAUS / ACS</t>
  </si>
  <si>
    <t>L2</t>
  </si>
  <si>
    <t>Labor Force Participation Rate (LFPR)</t>
  </si>
  <si>
    <t>% of working-age population employed or seeking work; captures discouraged workers</t>
  </si>
  <si>
    <t>BLS / ACS</t>
  </si>
  <si>
    <t>L3</t>
  </si>
  <si>
    <t>Wage Growth vs. Inflation Spread</t>
  </si>
  <si>
    <t>Difference between local median wage growth and local CPI change; negative = real earnings decline</t>
  </si>
  <si>
    <t>BLS OES / BLS CPI</t>
  </si>
  <si>
    <t>1–2 quarters</t>
  </si>
  <si>
    <t>L4</t>
  </si>
  <si>
    <t>Gig Economy Participation Rate</t>
  </si>
  <si>
    <t>% workers in platform/gig jobs without benefits; proxy for income instability</t>
  </si>
  <si>
    <t>ACS / JPMorgan Chase Research</t>
  </si>
  <si>
    <t>L5</t>
  </si>
  <si>
    <t>Median Household Income (MHI)</t>
  </si>
  <si>
    <t>Annual midpoint income for households; baseline socioeconomic level</t>
  </si>
  <si>
    <t>ACS</t>
  </si>
  <si>
    <t>L6</t>
  </si>
  <si>
    <t>Benefits Cliff Incidence</t>
  </si>
  <si>
    <t>Households near income thresholds where a raise would reduce net benefits; traps mobility</t>
  </si>
  <si>
    <t>CLIFF Tool / Urban Institute</t>
  </si>
  <si>
    <t>State/County</t>
  </si>
  <si>
    <t>N1</t>
  </si>
  <si>
    <t>Food &amp; Health</t>
  </si>
  <si>
    <t>SNAP Caseload Change Rate</t>
  </si>
  <si>
    <t>Month-over-month % change in SNAP enrollment; real-time proxy for food insecurity spikes</t>
  </si>
  <si>
    <t>USDA FNS</t>
  </si>
  <si>
    <t>1–2 months</t>
  </si>
  <si>
    <t>N2</t>
  </si>
  <si>
    <t>Free &amp; Reduced Lunch (FRL) Rate</t>
  </si>
  <si>
    <t>% of school students certified for FRL; stable proxy for child poverty level</t>
  </si>
  <si>
    <t>NCES / Dept of Education</t>
  </si>
  <si>
    <t>School District</t>
  </si>
  <si>
    <t>N3</t>
  </si>
  <si>
    <t>Food Pantry Demand Surge</t>
  </si>
  <si>
    <t>% change in visits to local food pantries/food banks vs. prior period</t>
  </si>
  <si>
    <t>Feeding America / Local Banks</t>
  </si>
  <si>
    <t>N4</t>
  </si>
  <si>
    <t>Child Food Insecurity Rate</t>
  </si>
  <si>
    <t>% of children in households experiencing food insecurity as modeled by Map the Meal Gap</t>
  </si>
  <si>
    <t>Feeding America</t>
  </si>
  <si>
    <t>N5</t>
  </si>
  <si>
    <t>Preventable ER Visit Rate</t>
  </si>
  <si>
    <t>Rate of ER visits for conditions treatable by primary care; signals healthcare access deprivation</t>
  </si>
  <si>
    <t>HCUP / State Health Depts</t>
  </si>
  <si>
    <t>N6</t>
  </si>
  <si>
    <t>Uninsured Rate</t>
  </si>
  <si>
    <t>% without health insurance; strongly correlated with medical debt and financial shock vulnerability</t>
  </si>
  <si>
    <t>ACS / KFF</t>
  </si>
  <si>
    <t>M1</t>
  </si>
  <si>
    <t>Education &amp; Mobility</t>
  </si>
  <si>
    <t>High School Graduation Rate</t>
  </si>
  <si>
    <t>% of 9th graders who graduate on time; leading indicator of future income trajectory</t>
  </si>
  <si>
    <t>NCES / State DOEs</t>
  </si>
  <si>
    <t>5–10 years</t>
  </si>
  <si>
    <t>M2</t>
  </si>
  <si>
    <t>Intergenerational Income Mobility Rank</t>
  </si>
  <si>
    <t>Probability that child born in bottom income quintile reaches top quintile; from Opportunity Atlas</t>
  </si>
  <si>
    <t>Structural</t>
  </si>
  <si>
    <t>Opportunity Insights</t>
  </si>
  <si>
    <t>Static (by cohort)</t>
  </si>
  <si>
    <t>Generational</t>
  </si>
  <si>
    <t>M3</t>
  </si>
  <si>
    <t>Chronic Absenteeism Rate</t>
  </si>
  <si>
    <t>% K-12 students missing 10%+ of school days; correlated with family instability and poverty cycles</t>
  </si>
  <si>
    <t>State DOEs</t>
  </si>
  <si>
    <t>3–5 years</t>
  </si>
  <si>
    <t>M4</t>
  </si>
  <si>
    <t>College Enrollment Rate (Low-Income)</t>
  </si>
  <si>
    <t>% of low-income HS graduates enrolling in college; measures upward mobility pathway</t>
  </si>
  <si>
    <t>NCES</t>
  </si>
  <si>
    <t>District/County</t>
  </si>
  <si>
    <t>I1</t>
  </si>
  <si>
    <t>Infrastructure</t>
  </si>
  <si>
    <t>Commercial Vacancy Rate</t>
  </si>
  <si>
    <t>% of retail/commercial units vacant; measures economic disinvestment and jobs loss</t>
  </si>
  <si>
    <t>CoStar / Local Assessors</t>
  </si>
  <si>
    <t>2–4 quarters</t>
  </si>
  <si>
    <t>I2</t>
  </si>
  <si>
    <t>Public Transit Access Score</t>
  </si>
  <si>
    <t>% of residents within ½ mile of frequent transit; transport poverty limits employment access</t>
  </si>
  <si>
    <t>GTFS / Transit Agency Data</t>
  </si>
  <si>
    <t>I3</t>
  </si>
  <si>
    <t>Lead Pipe Prevalence</t>
  </si>
  <si>
    <t>% of water service lines made of lead; proxy for environmental injustice and health burden</t>
  </si>
  <si>
    <t>EPA SDWIS / Local Utilities</t>
  </si>
  <si>
    <t>Static</t>
  </si>
  <si>
    <t>I4</t>
  </si>
  <si>
    <t>Park &amp; Green Space Access</t>
  </si>
  <si>
    <t>Acres of public park per 1,000 residents; low access correlates with health disparities</t>
  </si>
  <si>
    <t>ParkScore / Local GIS</t>
  </si>
  <si>
    <t>S1</t>
  </si>
  <si>
    <t>Social Capital</t>
  </si>
  <si>
    <t>Economic Connectedness Index</t>
  </si>
  <si>
    <t>Measure of cross-income-class friendship density; from Opportunity Insights/Meta Social Capital Atlas</t>
  </si>
  <si>
    <t>S2</t>
  </si>
  <si>
    <t>Civic Participation Rate</t>
  </si>
  <si>
    <t>Voter registration and turnout rates; proxy for community social cohesion and political voice</t>
  </si>
  <si>
    <t>State Election Records</t>
  </si>
  <si>
    <t>Precinct</t>
  </si>
  <si>
    <t>Biennial</t>
  </si>
  <si>
    <t>S3</t>
  </si>
  <si>
    <t>Non-Profit Density</t>
  </si>
  <si>
    <t>Number of community service non-profits per 1,000 residents; measures local support infrastructure</t>
  </si>
  <si>
    <t>IRS Form 990 / NCCS</t>
  </si>
  <si>
    <t>P1</t>
  </si>
  <si>
    <t>Policy &amp; Safety Net</t>
  </si>
  <si>
    <t>EITC Claim Rate</t>
  </si>
  <si>
    <t>% of eligible households claiming the Earned Income Tax Credit; low rates signal benefit non-take-up</t>
  </si>
  <si>
    <t>IRS Statistics of Income</t>
  </si>
  <si>
    <t>P2</t>
  </si>
  <si>
    <t>Medicaid/CHIP Enrollment Change</t>
  </si>
  <si>
    <t>Month-over-month change in Medicaid enrollment; spikes signal income shocks</t>
  </si>
  <si>
    <t>CMS</t>
  </si>
  <si>
    <t>1–3 months</t>
  </si>
  <si>
    <t>P3</t>
  </si>
  <si>
    <t>Housing Voucher (HCV) Waitlist Length</t>
  </si>
  <si>
    <t>Number of households on Section 8 waitlist; signals gap between supply and need</t>
  </si>
  <si>
    <t>HUD PIC/EPIC</t>
  </si>
  <si>
    <t>PHA Jurisdiction</t>
  </si>
  <si>
    <t>P4</t>
  </si>
  <si>
    <t>Child Tax Credit (CTC) Non-Take-Up Rate</t>
  </si>
  <si>
    <t>% eligible households not claiming CTC; signals disconnection from tax system</t>
  </si>
  <si>
    <t>IRS / Census</t>
  </si>
  <si>
    <t>POVERTY METRICS COMPARISON — OPM vs. SPM vs. ANCHORED SPM vs. CONSUMPTION-BASED</t>
  </si>
  <si>
    <t>Why the Official Poverty Measure (OPM) is Insufficient and Which Measures to Use in Predictive Modeling</t>
  </si>
  <si>
    <t>Metric</t>
  </si>
  <si>
    <t>Threshold Logic</t>
  </si>
  <si>
    <t>Resource Definition</t>
  </si>
  <si>
    <t>Includes Non-Cash Benefits?</t>
  </si>
  <si>
    <t>Geographic Adjustment?</t>
  </si>
  <si>
    <t>Predictive Utility for Tracking</t>
  </si>
  <si>
    <t>Official Poverty Measure (OPM)</t>
  </si>
  <si>
    <t>3× the 1963 Economy Food Plan, adjusted for inflation only</t>
  </si>
  <si>
    <t>Gross pre-tax cash income only. No deductions.</t>
  </si>
  <si>
    <t>No — ignores SNAP, EITC, housing vouchers</t>
  </si>
  <si>
    <t>No — national thresholds applied uniformly</t>
  </si>
  <si>
    <t>LOW — Highly lagged; misses policy impact; understates poverty in high-cost cities</t>
  </si>
  <si>
    <t>Supplemental Poverty Measure (SPM)</t>
  </si>
  <si>
    <t>Expenditures on Food, Clothing, Shelter &amp; Utilities (FCSU) + 20% markup</t>
  </si>
  <si>
    <t>Post-tax income + non-cash benefits − essential expenses (medical, work-related)</t>
  </si>
  <si>
    <t>Yes — counts SNAP, LIHEAP, housing subsidies</t>
  </si>
  <si>
    <t>Yes — geographic cost-of-living adjustment</t>
  </si>
  <si>
    <t>MODERATE — Captures policy effectiveness but remains retrospective (annual)</t>
  </si>
  <si>
    <t>Anchored SPM</t>
  </si>
  <si>
    <t>Historically fixed SPM threshold adjusted only for inflation (anchored to ~2012)</t>
  </si>
  <si>
    <t>Same as SPM</t>
  </si>
  <si>
    <t>Yes</t>
  </si>
  <si>
    <t>HIGH — Best for tracking long-term poverty trends vs. a fixed living standard</t>
  </si>
  <si>
    <t>Consumption-Based Measure</t>
  </si>
  <si>
    <t>Direct measurement of actual household spending on goods &amp; services</t>
  </si>
  <si>
    <t>Actual goods and services utilized; includes asset draw-down</t>
  </si>
  <si>
    <t>Implicitly yes — captures all resources used regardless of source</t>
  </si>
  <si>
    <t>Partially (via price deflators)</t>
  </si>
  <si>
    <t>HIGH — Best for identifying the most disadvantaged who use assets to buffer shocks</t>
  </si>
  <si>
    <t>Multidimensional Poverty Index (MPI)</t>
  </si>
  <si>
    <t>Composite index across 3 dimensions: health, education, living standards</t>
  </si>
  <si>
    <t>10 weighted indicators; threshold at 33% deprivation</t>
  </si>
  <si>
    <t>Partial — captures access, not income transfers</t>
  </si>
  <si>
    <t>Yes — adaptable by region</t>
  </si>
  <si>
    <t>HIGH — Best for neighborhood-level qualitative profiling of deprivation clusters</t>
  </si>
  <si>
    <t>💡 KEY INSIGHT: The OPM showed poverty was flat since the 1960s; the Anchored SPM shows a 40% decline — meaning government policy dramatically reduced poverty, but the OPM is blind to it. For predictive tracking, lead with SPM + consumption-based + microeconomic stress indicators.</t>
  </si>
  <si>
    <t>EXISTING PREDICTIVE MODELS &amp; DATA SOURCES — ANALYSIS AND APPLICATION</t>
  </si>
  <si>
    <t>Organizations and methodologies currently predicting poverty trends — what they track and how to leverage them</t>
  </si>
  <si>
    <t>Source / Organization</t>
  </si>
  <si>
    <t>Tool / Dataset</t>
  </si>
  <si>
    <t>Predicted Outcome</t>
  </si>
  <si>
    <t>Primary Data Points Used</t>
  </si>
  <si>
    <t>Methodology</t>
  </si>
  <si>
    <t>Strategic Application for Our Framework</t>
  </si>
  <si>
    <t>Harvard Opportunity Insights (Raj Chetty)</t>
  </si>
  <si>
    <t>Opportunity Atlas</t>
  </si>
  <si>
    <t>Intergenerational Mobility Rate</t>
  </si>
  <si>
    <t>Parental income, child earnings at 35, birth cohort, neighborhood exposure duration</t>
  </si>
  <si>
    <t>Quasi-experimental; matched tax records + ACS data</t>
  </si>
  <si>
    <t>Use as baseline 'mobility ceiling' for each tract. Identify tracts where mobility is near zero to prioritize intervention.</t>
  </si>
  <si>
    <t>Social Capital Atlas</t>
  </si>
  <si>
    <t>Economic Connectedness (EC) Index</t>
  </si>
  <si>
    <t>Cross-class friendship patterns (Meta data), civic participation, social cohesion grades</t>
  </si>
  <si>
    <t>ZIP Code, High School, College</t>
  </si>
  <si>
    <t>Network analysis of 72M Facebook users</t>
  </si>
  <si>
    <t>Low EC scores predict stagnant poverty cycles. Target community investment where EC is low but mobility could improve.</t>
  </si>
  <si>
    <t>Columbia / Robin Hood</t>
  </si>
  <si>
    <t>NYC Poverty Tracker</t>
  </si>
  <si>
    <t>Poverty Entry/Exit Velocity</t>
  </si>
  <si>
    <t>Quarterly income, food budget shortfalls, transportation hardships, utility shutoffs, material hardships</t>
  </si>
  <si>
    <t>NYC Household (longitudinal)</t>
  </si>
  <si>
    <t>3-month panel surveys; ~2,500 households per wave</t>
  </si>
  <si>
    <t>Replicate the quarterly pulse model in target neighborhoods. Track 'poverty churning' — how fast families enter/exit — not just the rate.</t>
  </si>
  <si>
    <t>World Bank</t>
  </si>
  <si>
    <t>SWIFT (Survey of Well-Being via Instant &amp; Frequent Tracking)</t>
  </si>
  <si>
    <t>Household Poverty Probability</t>
  </si>
  <si>
    <t>10–15 poverty correlates: asset ownership, HH size, education level, access to services</t>
  </si>
  <si>
    <t>Household / Community</t>
  </si>
  <si>
    <t>Machine learning (Random Forest) trained on full consumption surveys</t>
  </si>
  <si>
    <t>Adapt SWIFT 15-indicator protocol for rapid neighborhood scanning. Enables real-time poverty 'nowcasting' without expensive full surveys.</t>
  </si>
  <si>
    <t>Urban Institute</t>
  </si>
  <si>
    <t>Neighborhood Data for Social Change</t>
  </si>
  <si>
    <t>Multi-domain Neighborhood Vulnerability</t>
  </si>
  <si>
    <t>Housing cost burden, eviction rates, employment, education attainment, health outcomes</t>
  </si>
  <si>
    <t>Composite index scoring; publicly accessible dashboard</t>
  </si>
  <si>
    <t>Use as a calibration dataset. Their composite scoring methodology can be adapted for our Bayesian spatiotemporal model.</t>
  </si>
  <si>
    <t>Eviction Lab (Princeton)</t>
  </si>
  <si>
    <t>Eviction Tracking System (ETS)</t>
  </si>
  <si>
    <t>Eviction Risk Score</t>
  </si>
  <si>
    <t>Filing rates, judgment rates, serial filer landlords, back-rent amounts</t>
  </si>
  <si>
    <t>City / ZIP Code</t>
  </si>
  <si>
    <t>Real-time court record scraping + demographic matching</t>
  </si>
  <si>
    <t>Integrate ETS filing rates as the primary 'early warning' leading indicator (H1, H2). Their API/data exports are research-accessible.</t>
  </si>
  <si>
    <t>Census Bureau / BLS</t>
  </si>
  <si>
    <t>American Community Survey (ACS)</t>
  </si>
  <si>
    <t>Annual Poverty Snapshot</t>
  </si>
  <si>
    <t>Income, employment, housing costs, demographics, education, health insurance</t>
  </si>
  <si>
    <t>Census Tract (5-yr) / Block Group</t>
  </si>
  <si>
    <t>Stratified random sample; ~3.5M households annually</t>
  </si>
  <si>
    <t>Use as baseline ground truth for model calibration. ACS 1-yr estimates provide faster but noisier annual updates.</t>
  </si>
  <si>
    <t>U.S. Dept. of Energy (EIA)</t>
  </si>
  <si>
    <t>Residential Energy Consumption Survey (RECS)</t>
  </si>
  <si>
    <t>Energy Insecurity Prevalence</t>
  </si>
  <si>
    <t>Fuel type, energy expenditures, thermal discomfort, bill payment difficulty</t>
  </si>
  <si>
    <t>MSA / Regional</t>
  </si>
  <si>
    <t>Stratified sample survey; ~18,000 housing units every 4 years</t>
  </si>
  <si>
    <t>Use RECS to benchmark local utility data (E1–E4) against national patterns. Gaps signal neighborhood-specific energy stress.</t>
  </si>
  <si>
    <t>Federal Reserve (CFPB / FRB)</t>
  </si>
  <si>
    <t>Consumer Credit Panel / Z.1 Report</t>
  </si>
  <si>
    <t>Credit Access &amp; Debt Stress</t>
  </si>
  <si>
    <t>Credit scores, auto/student/mortgage balances, debt-in-collections, delinquency rates</t>
  </si>
  <si>
    <t>ZIP Code / County</t>
  </si>
  <si>
    <t>5% random sample of credit bureau records (anonymized)</t>
  </si>
  <si>
    <t>Track F3, F4, F6 over time as the 'financial drain' layer. Rising delinquency 12–18 months before eviction spikes is the key signal.</t>
  </si>
  <si>
    <t>DATA GOVERNANCE, SILOS &amp; INTEROPERABILITY MAP</t>
  </si>
  <si>
    <t>Identifying access barriers, custodians, and integration strategies for each data stream</t>
  </si>
  <si>
    <t>Data Type</t>
  </si>
  <si>
    <t>Primary Custodian(s)</t>
  </si>
  <si>
    <t>Accessibility Barrier</t>
  </si>
  <si>
    <t>Privacy / Legal Constraint</t>
  </si>
  <si>
    <t>Interoperability Strategy</t>
  </si>
  <si>
    <t>Priority for Integration</t>
  </si>
  <si>
    <t>Eviction Filings</t>
  </si>
  <si>
    <t>Local Judiciary / Courts</t>
  </si>
  <si>
    <t>Inconsistent digitization; non-standardized legal codes; manual court record access</t>
  </si>
  <si>
    <t>CPLR / State privacy rules; no federal mandate to standardize</t>
  </si>
  <si>
    <t>API integration with Eviction Lab ETS; advocate for state e-filing mandates</t>
  </si>
  <si>
    <t>CRITICAL</t>
  </si>
  <si>
    <t>Utility Disconnection Data</t>
  </si>
  <si>
    <t>Private &amp; Public Utilities (e.g., ConEd, DTE, PG&amp;E)</t>
  </si>
  <si>
    <t>Proprietary; utilities cite 'burdensome reporting'; no federal reporting requirement</t>
  </si>
  <si>
    <t>CPUC/State PUC rules; customer data confidentiality</t>
  </si>
  <si>
    <t>File for regulatory disclosure at state PUC level; partner with energy advocacy orgs</t>
  </si>
  <si>
    <t>School Poverty Indicators (FRL/Direct Cert)</t>
  </si>
  <si>
    <t>U.S. Department of Education / LEAs</t>
  </si>
  <si>
    <t>FERPA privacy regulations; Community Eligibility Provision (CEP) masks individual data</t>
  </si>
  <si>
    <t>FERPA (20 U.S.C. § 1232g)</t>
  </si>
  <si>
    <t>Use aggregated district-level data from NCES; Urban Institute model estimates for sub-district</t>
  </si>
  <si>
    <t>HIGH</t>
  </si>
  <si>
    <t>Credit &amp; Financial Data</t>
  </si>
  <si>
    <t>Equifax, Experian, TransUnion; CFPB</t>
  </si>
  <si>
    <t>High cost for raw data; anonymization requirements; bureau data silos</t>
  </si>
  <si>
    <t>FCRA; GLBA; state financial privacy laws</t>
  </si>
  <si>
    <t>Leverage CFPB Consumer Credit Panel (5% anonymized sample); partner with FinTech data intermediaries</t>
  </si>
  <si>
    <t>SNAP / Medicaid Enrollment</t>
  </si>
  <si>
    <t>USDA FNS; CMS; State Agencies</t>
  </si>
  <si>
    <t>Data is federal but released at county level only; state-level release delays</t>
  </si>
  <si>
    <t>Privacy Act of 1974; ACA data use agreements</t>
  </si>
  <si>
    <t>Request county-level administrative data via state partnership MOUs; use CMS Geographic Variation Database</t>
  </si>
  <si>
    <t>Hospital / Health Records</t>
  </si>
  <si>
    <t>Hospitals; State Health Depts</t>
  </si>
  <si>
    <t>Highly fragmented; HIPAA restrictions; no standardized social determinants coding</t>
  </si>
  <si>
    <t>HIPAA (45 CFR Parts 160/164)</t>
  </si>
  <si>
    <t>Use HCUP state databases (aggregated); partner with HIEs for SDOH data feeds</t>
  </si>
  <si>
    <t>MEDIUM</t>
  </si>
  <si>
    <t>Payday Loan Inquiries</t>
  </si>
  <si>
    <t>CFPB; State Regulators; FinTechs</t>
  </si>
  <si>
    <t>CFPB HMDA equivalent doesn't exist for payday; state licensing databases vary</t>
  </si>
  <si>
    <t>State usury laws; CFPB payday rule history</t>
  </si>
  <si>
    <t>File FOIA with state banking departments; use CFPB complaint database as proxy</t>
  </si>
  <si>
    <t>Property Tax Records</t>
  </si>
  <si>
    <t>County Assessors</t>
  </si>
  <si>
    <t>Generally public but format varies widely; sparse API access in rural areas</t>
  </si>
  <si>
    <t>Public records (no major barrier)</t>
  </si>
  <si>
    <t>Bulk download from county assessors; use OpenStreetMap + PropTech APIs (Regrid, Parcl Labs)</t>
  </si>
  <si>
    <t>Broadband Access</t>
  </si>
  <si>
    <t>FCC (Form 477 / BDC)</t>
  </si>
  <si>
    <t>FCC Broadband Data Collection has known over-reporting bias; ISP data is proprietary</t>
  </si>
  <si>
    <t>FCC reporting rules; ISP competitive data confidentiality</t>
  </si>
  <si>
    <t>Use Microsoft AI for Health broadband data; combine with Ookla Speedtest data for validation</t>
  </si>
  <si>
    <t>Social Capital / Network Data</t>
  </si>
  <si>
    <t>Meta (Facebook); Opportunity Insights</t>
  </si>
  <si>
    <t>Proprietary social graph; massive privacy implications</t>
  </si>
  <si>
    <t>GDPR/CCPA equivalent concerns; Meta data use policies</t>
  </si>
  <si>
    <t>Leverage published Opportunity Insights Social Capital Atlas (ZIP-level aggregates only)</t>
  </si>
  <si>
    <t>LOW</t>
  </si>
  <si>
    <t>CONVERSION TOOLS, FORMULAS &amp; THRESHOLD CALCULATORS</t>
  </si>
  <si>
    <t>SECTION A — EVICTION FILING RATE CALCULATOR (Data Point H1)</t>
  </si>
  <si>
    <t>Input / Output</t>
  </si>
  <si>
    <t>Value</t>
  </si>
  <si>
    <t>Cell Ref</t>
  </si>
  <si>
    <t>Notes</t>
  </si>
  <si>
    <t>Total Eviction Cases Filed (period)</t>
  </si>
  <si>
    <t>B5</t>
  </si>
  <si>
    <t>Enter raw filing count from court records</t>
  </si>
  <si>
    <t>Total Renter Households in Area</t>
  </si>
  <si>
    <t>B6</t>
  </si>
  <si>
    <t>From ACS Table B25003</t>
  </si>
  <si>
    <t>Eviction Filing Rate per 100 HHs</t>
  </si>
  <si>
    <t>B7</t>
  </si>
  <si>
    <t>Formula: (Filings ÷ Renter HHs) × 100</t>
  </si>
  <si>
    <t>Risk Benchmark (National Avg ~2.3%)</t>
  </si>
  <si>
    <t>B8</t>
  </si>
  <si>
    <t>Source: Eviction Lab 2024</t>
  </si>
  <si>
    <t>Deviation from Benchmark</t>
  </si>
  <si>
    <t>B9</t>
  </si>
  <si>
    <t>Positive = above national average</t>
  </si>
  <si>
    <t>SECTION B — ENERGY INSECURITY RISK SCORE (Data Points E1–E3)</t>
  </si>
  <si>
    <t>Weight</t>
  </si>
  <si>
    <t>Final Disconnection Notice Rate (%)</t>
  </si>
  <si>
    <t>% of households receiving final notice</t>
  </si>
  <si>
    <t>Actual Disconnection Rate (%)</t>
  </si>
  <si>
    <t>% losing service (lagging; weight lower)</t>
  </si>
  <si>
    <t>Avg Arrearage ≥ $100 (% of HHs)</t>
  </si>
  <si>
    <t>% with $100+ unpaid utility debt</t>
  </si>
  <si>
    <t>Weighted Energy Insecurity Score</t>
  </si>
  <si>
    <t>0–100 scale; &gt;15 = HIGH RISK</t>
  </si>
  <si>
    <t>SECTION C — POVERTY THRESHOLD CONVERSIONS (2024 HHS Federal Poverty Level Guidelines)</t>
  </si>
  <si>
    <t>Household Size</t>
  </si>
  <si>
    <t>100% FPL ($)</t>
  </si>
  <si>
    <t>130% FPL — SNAP ($)</t>
  </si>
  <si>
    <t>200% FPL — Medicaid ($)</t>
  </si>
  <si>
    <t>SECTION D — COMPOSITE NEIGHBORHOOD POVERTY RISK INDEX CALCULATOR</t>
  </si>
  <si>
    <t>Layer</t>
  </si>
  <si>
    <t>Metric (Enter Current Value)</t>
  </si>
  <si>
    <t>Weighted Score</t>
  </si>
  <si>
    <t>Early Warning</t>
  </si>
  <si>
    <t>Eviction Filing Rate (per 100 HHs)</t>
  </si>
  <si>
    <t>Community Drain</t>
  </si>
  <si>
    <t>Payday Loan Inquiry Volume Index (0–100)</t>
  </si>
  <si>
    <t>Debt-in-Collections Rate (%)</t>
  </si>
  <si>
    <t>Mobility Barrier</t>
  </si>
  <si>
    <t>Broadband Non-Subscription Rate (%)</t>
  </si>
  <si>
    <t>Free &amp; Reduced Lunch Rate (%)</t>
  </si>
  <si>
    <t>Wage Growth vs. Inflation Spread (%)</t>
  </si>
  <si>
    <t>Immobility Score (100 − Mobility Rank)</t>
  </si>
  <si>
    <t>COMPOSITE RISK INDEX SCORE (0–100)</t>
  </si>
  <si>
    <t>SCORE INTERPRETATION GUIDE</t>
  </si>
  <si>
    <t>0 – 20</t>
  </si>
  <si>
    <t>LOW RISK</t>
  </si>
  <si>
    <t>Neighborhood stable; monitor quarterly</t>
  </si>
  <si>
    <t>21 – 40</t>
  </si>
  <si>
    <t>MODERATE RISK</t>
  </si>
  <si>
    <t>Emerging stress signals; increase monitoring frequency</t>
  </si>
  <si>
    <t>41 – 60</t>
  </si>
  <si>
    <t>HIGH RISK</t>
  </si>
  <si>
    <t>Active early warning phase; deploy targeted interventions</t>
  </si>
  <si>
    <t>61 – 80</t>
  </si>
  <si>
    <t>SEVERE RISK</t>
  </si>
  <si>
    <t>Poverty crystallization underway; emergency resource deployment</t>
  </si>
  <si>
    <t>81 – 100</t>
  </si>
  <si>
    <t>CRISIS</t>
  </si>
  <si>
    <t>Systemic collapse; immediate multi-agency response required</t>
  </si>
  <si>
    <t>PREDICTIVE FRAMEWORK, REFINED HYPOTHESIS &amp; STRATEGIC LAYER ARCHITECTURE</t>
  </si>
  <si>
    <t>REFINED RESEARCH HYPOTHESIS</t>
  </si>
  <si>
    <t>REFINED HYPOTHESIS: "By consolidating microeconomic factors — specifically eviction filings, utility disconnection notices, payday lending density, and broadband subscription deficits — into a Bayesian spatiotemporal framework, localized poverty trends can be predicted with 60–90 days of lead time compared to federal surveys. This consolidated tracking enables "surgical" policy interventions — such as targeted emergency rental assistance, utility subsidies, and direct certification of school poverty — that prevent the crystallization of persistent poverty in vulnerable neighborhoods."</t>
  </si>
  <si>
    <t>FOUR-LAYER TRACKING SYSTEM ARCHITECTURE</t>
  </si>
  <si>
    <t>Name</t>
  </si>
  <si>
    <t>Key Data Points</t>
  </si>
  <si>
    <t>What It Detects</t>
  </si>
  <si>
    <t>Recommended Action Trigger</t>
  </si>
  <si>
    <t>Layer 1</t>
  </si>
  <si>
    <t>EARLY WARNING
(60–90 day lead)</t>
  </si>
  <si>
    <t>H1 Eviction Filings, E1 Disconnection Notices, N1 SNAP Caseload, P2 Medicaid Enrollment</t>
  </si>
  <si>
    <t>Household transition from 'stable' to 'at-risk'; precedes formal poverty measurement by 2–3 months</t>
  </si>
  <si>
    <t>Increase case management outreach; pre-position emergency rental assistance funds</t>
  </si>
  <si>
    <t>Layer 2</t>
  </si>
  <si>
    <t>COMMUNITY DRAIN
(Friction Indicators)</t>
  </si>
  <si>
    <t>F1 Payday Lender Density, F2 Loan Inquiry Volume, F3 Credit Score Avg, F4 Debt in Collections</t>
  </si>
  <si>
    <t>Neighborhood where usurious debt is extracting local purchasing power; capital flight to national chains</t>
  </si>
  <si>
    <t>Enforce local payday lending ordinances; expand CDFI presence; financial counseling programs</t>
  </si>
  <si>
    <t>Layer 3</t>
  </si>
  <si>
    <t>MOBILITY BARRIERS
(Rebound Capacity)</t>
  </si>
  <si>
    <t>D1 Broadband Rate, M2 Intergenerational Mobility Rank, M1 Graduation Rate, S1 Economic Connectedness</t>
  </si>
  <si>
    <t>Neighborhood's structural capacity to recover from shocks; predicts chronic vs. temporary poverty</t>
  </si>
  <si>
    <t>Targeted infrastructure investment (broadband, transit); school-based interventions; social bridge programs</t>
  </si>
  <si>
    <t>Layer 4</t>
  </si>
  <si>
    <t>ANALYTICS ENGINE
(Bayesian Spatiotemporal)</t>
  </si>
  <si>
    <t>All data points above, aggregated into Composite Risk Index</t>
  </si>
  <si>
    <t>Smooths noise, borrows strength across similar tracts, produces 'nowcast' probability of poverty spike</t>
  </si>
  <si>
    <t>Automatically flag tracts exceeding threshold for policy review; adjust thresholds seasonally</t>
  </si>
  <si>
    <t>RECOMMENDED ANALYTICAL METHODOLOGY STACK</t>
  </si>
  <si>
    <t>Method</t>
  </si>
  <si>
    <t>Use Case</t>
  </si>
  <si>
    <t>Strengths</t>
  </si>
  <si>
    <t>Limitations</t>
  </si>
  <si>
    <t>Implementation Tool</t>
  </si>
  <si>
    <t>Bayesian Spatiotemporal CAR Model</t>
  </si>
  <si>
    <t>Neighborhood-level 'nowcasting'; small area estimation</t>
  </si>
  <si>
    <t>Borrows strength across tracts; handles sparse data; quantifies uncertainty</t>
  </si>
  <si>
    <t>Computationally intensive; requires prior specification</t>
  </si>
  <si>
    <t>R (INLA package), Stan, or PyMC3</t>
  </si>
  <si>
    <t>Random Forest / Gradient Boosting (GBM)</t>
  </si>
  <si>
    <t>Feature selection; identifying top predictors across 50+ data points</t>
  </si>
  <si>
    <t>Handles non-linear interactions; robust to outliers; interpretable via SHAP values</t>
  </si>
  <si>
    <t>Black-box risk if not explained; requires clean labeled data</t>
  </si>
  <si>
    <t>Python (scikit-learn, XGBoost, LightGBM)</t>
  </si>
  <si>
    <t>SARIMA (Seasonal ARIMA)</t>
  </si>
  <si>
    <t>Longitudinal tracking of single neighborhood's trajectory</t>
  </si>
  <si>
    <t>Handles seasonality explicitly (winter energy spikes, back-to-school costs)</t>
  </si>
  <si>
    <t>Requires long time series; univariate by default</t>
  </si>
  <si>
    <t>Python (statsmodels), R (forecast package)</t>
  </si>
  <si>
    <t>LSTM Neural Network</t>
  </si>
  <si>
    <t>Long-term pattern recognition; post-shock recovery curves</t>
  </si>
  <si>
    <t>Learns complex multi-step dependencies; effective for 50+ concurrent series</t>
  </si>
  <si>
    <t>Requires large training data; not interpretable</t>
  </si>
  <si>
    <t>Python (TensorFlow / PyTorch)</t>
  </si>
  <si>
    <t>World Bank SWIFT Protocol</t>
  </si>
  <si>
    <t>Rapid field assessment / neighborhood survey (10–15 questions)</t>
  </si>
  <si>
    <t>Generates poverty probability without full income survey; deployable in 1 day</t>
  </si>
  <si>
    <t>Static snapshot; misses dynamic intra-year changes</t>
  </si>
  <si>
    <t>World Bank SWIFT toolkit; REDCap for surveys</t>
  </si>
  <si>
    <t>LEGEND, COLOR CODES &amp; USER GUIDE</t>
  </si>
  <si>
    <t>DATA POINT SIGNAL TYPES</t>
  </si>
  <si>
    <t>LEADING</t>
  </si>
  <si>
    <t>Precedes poverty outcomes by weeks/months. Highest predictive value. Act on these first.</t>
  </si>
  <si>
    <t>CONCURRENT</t>
  </si>
  <si>
    <t>Moves in real-time with poverty conditions. Use for current state assessment.</t>
  </si>
  <si>
    <t>LAGGING</t>
  </si>
  <si>
    <t>Confirms poverty after it has occurred. Use for outcome measurement and program evaluation.</t>
  </si>
  <si>
    <t>STRUCTURAL</t>
  </si>
  <si>
    <t>Slow-changing background conditions. Determines neighborhood's vulnerability ceiling.</t>
  </si>
  <si>
    <t>PRIORITY SCORE GUIDE (Column J in Master Data Points)</t>
  </si>
  <si>
    <t>Priority 5</t>
  </si>
  <si>
    <t>CRITICAL — Core leading indicator; highest signal-to-noise ratio. Include in all model versions.</t>
  </si>
  <si>
    <t>Priority 4</t>
  </si>
  <si>
    <t>HIGH — Strong predictor; include in full models and quarterly monitoring.</t>
  </si>
  <si>
    <t>Priority 3</t>
  </si>
  <si>
    <t>MODERATE — Useful supplementary signal; include in annual reviews and deep dives.</t>
  </si>
  <si>
    <t>Priority 2</t>
  </si>
  <si>
    <t>SUPPLEMENTARY — Contextual value; include in comprehensive analyses only.</t>
  </si>
  <si>
    <t>Priority 1</t>
  </si>
  <si>
    <t>EXPLORATORY — Experimental or emerging indicator; monitor for future inclusion.</t>
  </si>
  <si>
    <t>WORKBOOK NAVIGATION GUIDE</t>
  </si>
  <si>
    <t>📊 Master Data Points</t>
  </si>
  <si>
    <t>Full registry of all 48 labeled data points across 10 categories. Primary reference sheet.</t>
  </si>
  <si>
    <t>📏 Poverty Metrics Comparison</t>
  </si>
  <si>
    <t>Side-by-side analysis of OPM, SPM, Anchored SPM, Consumption-Based, and MPI measures.</t>
  </si>
  <si>
    <t>🔬 Predictive Models</t>
  </si>
  <si>
    <t>9 existing research sources and models — what they track, their methodology, and how to use them.</t>
  </si>
  <si>
    <t>🗄️ Data Governance</t>
  </si>
  <si>
    <t>Data custodians, access barriers, privacy constraints, and interoperability strategies for each stream.</t>
  </si>
  <si>
    <t>🔧 Conversion Tools</t>
  </si>
  <si>
    <t>Live calculators: Eviction Rate, Energy Risk Score, FPL Thresholds, Composite Neighborhood Risk Index.</t>
  </si>
  <si>
    <t>📋 Framework &amp; Hypothesis</t>
  </si>
  <si>
    <t>Refined hypothesis, 4-layer architecture, methodology stack — the strategic blueprint.</t>
  </si>
  <si>
    <t>📖 Legend &amp; Guide</t>
  </si>
  <si>
    <t>This sheet — color codes, signal types, and navigation instructions.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</si>
</sst>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6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10"/>
      <color rgb="FF1A2744"/>
      <name val="Arial"/>
      <family val="2"/>
    </font>
    <font>
      <b/>
      <sz val="10"/>
      <color rgb="FFFFFFFF"/>
      <name val="Arial"/>
      <family val="2"/>
    </font>
    <font>
      <b/>
      <sz val="9"/>
      <color rgb="FF2E75B6"/>
      <name val="Arial"/>
      <family val="2"/>
    </font>
    <font>
      <b/>
      <sz val="9"/>
      <color rgb="FF1F4E79"/>
      <name val="Arial"/>
      <family val="2"/>
    </font>
    <font>
      <sz val="9"/>
      <color rgb="FF000000"/>
      <name val="Arial"/>
      <family val="2"/>
    </font>
    <font>
      <b/>
      <sz val="9"/>
      <color rgb="FF375623"/>
      <name val="Arial"/>
      <family val="2"/>
    </font>
    <font>
      <b/>
      <sz val="9"/>
      <color rgb="FFC00000"/>
      <name val="Arial"/>
      <family val="2"/>
    </font>
    <font>
      <b/>
      <sz val="9"/>
      <color rgb="FFC55A11"/>
      <name val="Arial"/>
      <family val="2"/>
    </font>
    <font>
      <b/>
      <sz val="9"/>
      <color rgb="FFC9A84C"/>
      <name val="Arial"/>
      <family val="2"/>
    </font>
    <font>
      <b/>
      <sz val="9"/>
      <color rgb="FF7F6000"/>
      <name val="Arial"/>
      <family val="2"/>
    </font>
    <font>
      <b/>
      <sz val="9"/>
      <color rgb="FF7030A0"/>
      <name val="Arial"/>
      <family val="2"/>
    </font>
    <font>
      <b/>
      <sz val="9"/>
      <color rgb="FF843C0C"/>
      <name val="Arial"/>
      <family val="2"/>
    </font>
    <font>
      <b/>
      <sz val="9"/>
      <color rgb="FF6A1B9A"/>
      <name val="Arial"/>
      <family val="2"/>
    </font>
    <font>
      <b/>
      <sz val="9"/>
      <color rgb="FF595959"/>
      <name val="Arial"/>
      <family val="2"/>
    </font>
    <font>
      <b/>
      <sz val="9"/>
      <color rgb="FF2E7D32"/>
      <name val="Arial"/>
      <family val="2"/>
    </font>
    <font>
      <b/>
      <sz val="13"/>
      <color rgb="FFFFFFFF"/>
      <name val="Arial"/>
      <family val="2"/>
    </font>
    <font>
      <i/>
      <sz val="10"/>
      <color rgb="FF1F4E79"/>
      <name val="Arial"/>
      <family val="2"/>
    </font>
    <font>
      <b/>
      <sz val="10"/>
      <color rgb="FF1A2744"/>
      <name val="Arial"/>
      <family val="2"/>
    </font>
    <font>
      <b/>
      <sz val="9"/>
      <color rgb="FF1A2744"/>
      <name val="Arial"/>
      <family val="2"/>
    </font>
    <font>
      <b/>
      <sz val="9"/>
      <color rgb="FFFFFFFF"/>
      <name val="Arial"/>
      <family val="2"/>
    </font>
    <font>
      <b/>
      <sz val="9"/>
      <color rgb="FF0000FF"/>
      <name val="Arial"/>
      <family val="2"/>
    </font>
    <font>
      <i/>
      <sz val="8"/>
      <color rgb="FF595959"/>
      <name val="Arial"/>
      <family val="2"/>
    </font>
    <font>
      <i/>
      <sz val="8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FFFFFF"/>
      <name val="Arial"/>
      <family val="2"/>
    </font>
    <font>
      <b/>
      <sz val="9"/>
      <color rgb="FF7B0000"/>
      <name val="Arial"/>
      <family val="2"/>
    </font>
    <font>
      <b/>
      <sz val="10"/>
      <color rgb="FFC00000"/>
      <name val="Arial"/>
      <family val="2"/>
    </font>
    <font>
      <b/>
      <sz val="10"/>
      <color rgb="FF7F6000"/>
      <name val="Arial"/>
      <family val="2"/>
    </font>
    <font>
      <b/>
      <sz val="10"/>
      <color rgb="FF2E75B6"/>
      <name val="Arial"/>
      <family val="2"/>
    </font>
    <font>
      <b/>
      <sz val="10"/>
      <color rgb="FF7030A0"/>
      <name val="Arial"/>
      <family val="2"/>
    </font>
    <font>
      <b/>
      <sz val="10"/>
      <color rgb="FF375623"/>
      <name val="Arial"/>
      <family val="2"/>
    </font>
    <font>
      <b/>
      <sz val="10"/>
      <color rgb="FFC55A11"/>
      <name val="Arial"/>
      <family val="2"/>
    </font>
    <font>
      <b/>
      <sz val="10"/>
      <color rgb="FFC9A84C"/>
      <name val="Arial"/>
      <family val="2"/>
    </font>
    <font>
      <b/>
      <sz val="10"/>
      <color rgb="FF595959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A2744"/>
        <bgColor rgb="FF003366"/>
      </patternFill>
    </fill>
    <fill>
      <patternFill patternType="solid">
        <fgColor rgb="FFEBF3FB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E8F5E9"/>
      </patternFill>
    </fill>
    <fill>
      <patternFill patternType="solid">
        <fgColor rgb="FFFFFFFF"/>
        <bgColor rgb="FFF2F2F2"/>
      </patternFill>
    </fill>
    <fill>
      <patternFill patternType="solid">
        <fgColor rgb="FFFFE7E7"/>
        <bgColor rgb="FFFCE4D6"/>
      </patternFill>
    </fill>
    <fill>
      <patternFill patternType="solid">
        <fgColor rgb="FFFCE4D6"/>
        <bgColor rgb="FFFFE9CC"/>
      </patternFill>
    </fill>
    <fill>
      <patternFill patternType="solid">
        <fgColor rgb="FFFFF2CC"/>
        <bgColor rgb="FFFFE9CC"/>
      </patternFill>
    </fill>
    <fill>
      <patternFill patternType="solid">
        <fgColor rgb="FFEAD1FF"/>
        <bgColor rgb="FFF3E5F5"/>
      </patternFill>
    </fill>
    <fill>
      <patternFill patternType="solid">
        <fgColor rgb="FFFFE9CC"/>
        <bgColor rgb="FFFCE4D6"/>
      </patternFill>
    </fill>
    <fill>
      <patternFill patternType="solid">
        <fgColor rgb="FFF3E5F5"/>
        <bgColor rgb="FFFFE7E7"/>
      </patternFill>
    </fill>
    <fill>
      <patternFill patternType="solid">
        <fgColor rgb="FFF2F2F2"/>
        <bgColor rgb="FFEBF3FB"/>
      </patternFill>
    </fill>
    <fill>
      <patternFill patternType="solid">
        <fgColor rgb="FFE8F5E9"/>
        <bgColor rgb="FFEBF3FB"/>
      </patternFill>
    </fill>
    <fill>
      <patternFill patternType="solid">
        <fgColor rgb="FF1F4E79"/>
        <bgColor rgb="FF003366"/>
      </patternFill>
    </fill>
    <fill>
      <patternFill patternType="solid">
        <fgColor rgb="FFC55A11"/>
        <bgColor rgb="FF7F6000"/>
      </patternFill>
    </fill>
    <fill>
      <patternFill patternType="solid">
        <fgColor rgb="FFFFF0E8"/>
        <bgColor rgb="FFFFE7E7"/>
      </patternFill>
    </fill>
    <fill>
      <patternFill patternType="solid">
        <fgColor rgb="FF375623"/>
        <bgColor rgb="FF595959"/>
      </patternFill>
    </fill>
    <fill>
      <patternFill patternType="solid">
        <fgColor rgb="FFFFB3B3"/>
        <bgColor rgb="FFEAD1FF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 style="medium">
        <color rgb="FF595959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595959"/>
      </left>
      <right/>
      <top style="medium">
        <color rgb="FF595959"/>
      </top>
      <bottom style="medium">
        <color rgb="FF595959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6" fillId="8" borderId="3" xfId="0" applyFont="1" applyFill="1" applyBorder="1"/>
    <xf numFmtId="0" fontId="6" fillId="9" borderId="3" xfId="0" applyFont="1" applyFill="1" applyBorder="1"/>
    <xf numFmtId="0" fontId="6" fillId="10" borderId="3" xfId="0" applyFont="1" applyFill="1" applyBorder="1"/>
    <xf numFmtId="0" fontId="6" fillId="6" borderId="3" xfId="0" applyFont="1" applyFill="1" applyBorder="1"/>
    <xf numFmtId="0" fontId="3" fillId="2" borderId="0" xfId="0" applyFont="1" applyFill="1" applyAlignment="1">
      <alignment horizontal="center" vertical="center"/>
    </xf>
    <xf numFmtId="0" fontId="3" fillId="19" borderId="0" xfId="0" applyFont="1" applyFill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9" fillId="10" borderId="2" xfId="0" applyFont="1" applyFill="1" applyBorder="1" applyAlignment="1">
      <alignment horizontal="left" vertical="center" wrapText="1"/>
    </xf>
    <xf numFmtId="0" fontId="18" fillId="3" borderId="0" xfId="0" applyFont="1" applyFill="1" applyAlignment="1">
      <alignment horizontal="center" vertical="center"/>
    </xf>
    <xf numFmtId="0" fontId="17" fillId="16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13" fillId="12" borderId="1" xfId="0" applyFont="1" applyFill="1" applyBorder="1" applyAlignment="1">
      <alignment horizontal="left" vertical="center" wrapText="1"/>
    </xf>
    <xf numFmtId="0" fontId="14" fillId="13" borderId="1" xfId="0" applyFont="1" applyFill="1" applyBorder="1" applyAlignment="1">
      <alignment horizontal="left" vertical="center" wrapText="1"/>
    </xf>
    <xf numFmtId="0" fontId="15" fillId="14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16" fillId="15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left" vertical="center" wrapText="1"/>
    </xf>
    <xf numFmtId="0" fontId="20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20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20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20" fillId="14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20" fillId="11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20" fillId="7" borderId="1" xfId="0" applyFont="1" applyFill="1" applyBorder="1" applyAlignment="1">
      <alignment horizontal="left" vertical="center" wrapText="1"/>
    </xf>
    <xf numFmtId="0" fontId="21" fillId="4" borderId="1" xfId="0" applyFont="1" applyFill="1" applyBorder="1" applyAlignment="1">
      <alignment horizontal="center" vertical="center"/>
    </xf>
    <xf numFmtId="0" fontId="6" fillId="3" borderId="1" xfId="0" applyFont="1" applyFill="1" applyBorder="1"/>
    <xf numFmtId="0" fontId="22" fillId="7" borderId="1" xfId="0" applyFont="1" applyFill="1" applyBorder="1"/>
    <xf numFmtId="0" fontId="23" fillId="14" borderId="1" xfId="0" applyFont="1" applyFill="1" applyBorder="1"/>
    <xf numFmtId="0" fontId="24" fillId="14" borderId="1" xfId="0" applyFont="1" applyFill="1" applyBorder="1"/>
    <xf numFmtId="0" fontId="6" fillId="6" borderId="1" xfId="0" applyFont="1" applyFill="1" applyBorder="1"/>
    <xf numFmtId="0" fontId="21" fillId="17" borderId="1" xfId="0" applyFont="1" applyFill="1" applyBorder="1" applyAlignment="1">
      <alignment horizontal="center" vertical="center"/>
    </xf>
    <xf numFmtId="0" fontId="6" fillId="18" borderId="1" xfId="0" applyFont="1" applyFill="1" applyBorder="1"/>
    <xf numFmtId="0" fontId="9" fillId="9" borderId="1" xfId="0" applyFont="1" applyFill="1" applyBorder="1"/>
    <xf numFmtId="0" fontId="21" fillId="19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4" fontId="22" fillId="7" borderId="1" xfId="0" applyNumberFormat="1" applyFont="1" applyFill="1" applyBorder="1"/>
    <xf numFmtId="164" fontId="6" fillId="6" borderId="1" xfId="0" applyNumberFormat="1" applyFont="1" applyFill="1" applyBorder="1"/>
    <xf numFmtId="0" fontId="21" fillId="2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9" fontId="6" fillId="14" borderId="1" xfId="0" applyNumberFormat="1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0" fillId="2" borderId="2" xfId="0" applyFill="1" applyBorder="1"/>
    <xf numFmtId="0" fontId="3" fillId="2" borderId="2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27" fillId="20" borderId="1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 wrapText="1"/>
    </xf>
    <xf numFmtId="0" fontId="29" fillId="10" borderId="1" xfId="0" applyFont="1" applyFill="1" applyBorder="1" applyAlignment="1">
      <alignment horizontal="center" vertical="center"/>
    </xf>
    <xf numFmtId="0" fontId="29" fillId="10" borderId="1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/>
    </xf>
    <xf numFmtId="0" fontId="31" fillId="11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28" fillId="14" borderId="1" xfId="0" applyFont="1" applyFill="1" applyBorder="1" applyAlignment="1">
      <alignment horizontal="center" vertical="center"/>
    </xf>
    <xf numFmtId="0" fontId="33" fillId="14" borderId="1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0" fontId="32" fillId="14" borderId="1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 wrapText="1"/>
    </xf>
    <xf numFmtId="0" fontId="6" fillId="20" borderId="3" xfId="0" applyFont="1" applyFill="1" applyBorder="1"/>
    <xf numFmtId="0" fontId="26" fillId="4" borderId="0" xfId="0" applyFont="1" applyFill="1" applyAlignment="1">
      <alignment horizontal="center" vertical="center"/>
    </xf>
    <xf numFmtId="0" fontId="2" fillId="3" borderId="4" xfId="0" applyFont="1" applyFill="1" applyBorder="1" applyAlignment="1">
      <alignment horizontal="left" vertical="center" wrapText="1"/>
    </xf>
    <xf numFmtId="0" fontId="26" fillId="16" borderId="0" xfId="0" applyFont="1" applyFill="1" applyAlignment="1">
      <alignment horizontal="center" vertical="center"/>
    </xf>
    <xf numFmtId="0" fontId="26" fillId="19" borderId="0" xfId="0" applyFont="1" applyFill="1" applyAlignment="1">
      <alignment horizontal="center" vertical="center"/>
    </xf>
    <xf numFmtId="0" fontId="6" fillId="6" borderId="3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left" vertical="center" wrapText="1"/>
    </xf>
    <xf numFmtId="0" fontId="6" fillId="11" borderId="3" xfId="0" applyFont="1" applyFill="1" applyBorder="1" applyAlignment="1">
      <alignment horizontal="left" vertical="center" wrapText="1"/>
    </xf>
    <xf numFmtId="0" fontId="6" fillId="14" borderId="3" xfId="0" applyFont="1" applyFill="1" applyBorder="1" applyAlignment="1">
      <alignment horizontal="left" vertical="center" wrapText="1"/>
    </xf>
    <xf numFmtId="0" fontId="3" fillId="1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0E8"/>
      <rgbColor rgb="FFFF00FF"/>
      <rgbColor rgb="FF00FFFF"/>
      <rgbColor rgb="FF7B0000"/>
      <rgbColor rgb="FF008000"/>
      <rgbColor rgb="FF000080"/>
      <rgbColor rgb="FF7F6000"/>
      <rgbColor rgb="FF6A1B9A"/>
      <rgbColor rgb="FF008080"/>
      <rgbColor rgb="FFBFBFBF"/>
      <rgbColor rgb="FF808080"/>
      <rgbColor rgb="FFF2F2F2"/>
      <rgbColor rgb="FF7030A0"/>
      <rgbColor rgb="FFFFF2CC"/>
      <rgbColor rgb="FFE8F5E9"/>
      <rgbColor rgb="FF660066"/>
      <rgbColor rgb="FFFF8080"/>
      <rgbColor rgb="FF0066CC"/>
      <rgbColor rgb="FFEAD1FF"/>
      <rgbColor rgb="FF000080"/>
      <rgbColor rgb="FFFF00FF"/>
      <rgbColor rgb="FFFFE7E7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E9CC"/>
      <rgbColor rgb="FFD6E4F0"/>
      <rgbColor rgb="FFFCE4D6"/>
      <rgbColor rgb="FFF3E5F5"/>
      <rgbColor rgb="FFFFB3B3"/>
      <rgbColor rgb="FF2E75B6"/>
      <rgbColor rgb="FF33CCCC"/>
      <rgbColor rgb="FF99CC00"/>
      <rgbColor rgb="FFFFCC00"/>
      <rgbColor rgb="FFFF9900"/>
      <rgbColor rgb="FFC55A11"/>
      <rgbColor rgb="FF595959"/>
      <rgbColor rgb="FFC9A84C"/>
      <rgbColor rgb="FF003366"/>
      <rgbColor rgb="FF2E7D32"/>
      <rgbColor rgb="FF003300"/>
      <rgbColor rgb="FF375623"/>
      <rgbColor rgb="FF843C0C"/>
      <rgbColor rgb="FF993366"/>
      <rgbColor rgb="FF1F4E79"/>
      <rgbColor rgb="FF1A27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abSelected="1" zoomScaleNormal="100" workbookViewId="0">
      <pane ySplit="3" topLeftCell="A4" activePane="bottomLeft" state="frozen"/>
      <selection pane="bottomLeft" activeCell="G12" sqref="G12"/>
    </sheetView>
  </sheetViews>
  <sheetFormatPr baseColWidth="10" defaultColWidth="8.6640625" defaultRowHeight="15" x14ac:dyDescent="0.2"/>
  <cols>
    <col min="1" max="1" width="10" customWidth="1"/>
    <col min="2" max="2" width="22" customWidth="1"/>
    <col min="3" max="3" width="28" customWidth="1"/>
    <col min="4" max="4" width="52" customWidth="1"/>
    <col min="5" max="5" width="14" customWidth="1"/>
    <col min="6" max="6" width="32" customWidth="1"/>
    <col min="7" max="7" width="20" customWidth="1"/>
    <col min="8" max="10" width="18" customWidth="1"/>
  </cols>
  <sheetData>
    <row r="1" spans="1:10" ht="33.75" customHeight="1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8" customHeight="1" x14ac:dyDescent="0.2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27.75" customHeight="1" x14ac:dyDescent="0.2">
      <c r="A3" s="15" t="s">
        <v>2</v>
      </c>
      <c r="B3" s="15" t="s">
        <v>3</v>
      </c>
      <c r="C3" s="15" t="s">
        <v>4</v>
      </c>
      <c r="D3" s="15" t="s">
        <v>5</v>
      </c>
      <c r="E3" s="15" t="s">
        <v>6</v>
      </c>
      <c r="F3" s="15" t="s">
        <v>7</v>
      </c>
      <c r="G3" s="15" t="s">
        <v>8</v>
      </c>
      <c r="H3" s="15" t="s">
        <v>9</v>
      </c>
      <c r="I3" s="15" t="s">
        <v>10</v>
      </c>
      <c r="J3" s="15" t="s">
        <v>11</v>
      </c>
    </row>
    <row r="4" spans="1:10" ht="30" customHeight="1" x14ac:dyDescent="0.2">
      <c r="A4" s="16" t="s">
        <v>12</v>
      </c>
      <c r="B4" s="17" t="s">
        <v>13</v>
      </c>
      <c r="C4" s="18" t="s">
        <v>14</v>
      </c>
      <c r="D4" s="18" t="s">
        <v>15</v>
      </c>
      <c r="E4" s="19" t="s">
        <v>16</v>
      </c>
      <c r="F4" s="18" t="s">
        <v>17</v>
      </c>
      <c r="G4" s="18" t="s">
        <v>18</v>
      </c>
      <c r="H4" s="18" t="s">
        <v>19</v>
      </c>
      <c r="I4" s="18" t="s">
        <v>20</v>
      </c>
      <c r="J4" s="20">
        <v>5</v>
      </c>
    </row>
    <row r="5" spans="1:10" ht="30" customHeight="1" x14ac:dyDescent="0.2">
      <c r="A5" s="21" t="s">
        <v>21</v>
      </c>
      <c r="B5" s="17" t="s">
        <v>13</v>
      </c>
      <c r="C5" s="22" t="s">
        <v>22</v>
      </c>
      <c r="D5" s="22" t="s">
        <v>23</v>
      </c>
      <c r="E5" s="19" t="s">
        <v>16</v>
      </c>
      <c r="F5" s="22" t="s">
        <v>24</v>
      </c>
      <c r="G5" s="22" t="s">
        <v>18</v>
      </c>
      <c r="H5" s="22" t="s">
        <v>19</v>
      </c>
      <c r="I5" s="22" t="s">
        <v>25</v>
      </c>
      <c r="J5" s="23">
        <v>4</v>
      </c>
    </row>
    <row r="6" spans="1:10" ht="30" customHeight="1" x14ac:dyDescent="0.2">
      <c r="A6" s="16" t="s">
        <v>26</v>
      </c>
      <c r="B6" s="17" t="s">
        <v>13</v>
      </c>
      <c r="C6" s="18" t="s">
        <v>27</v>
      </c>
      <c r="D6" s="18" t="s">
        <v>28</v>
      </c>
      <c r="E6" s="19" t="s">
        <v>16</v>
      </c>
      <c r="F6" s="18" t="s">
        <v>29</v>
      </c>
      <c r="G6" s="18" t="s">
        <v>30</v>
      </c>
      <c r="H6" s="18" t="s">
        <v>31</v>
      </c>
      <c r="I6" s="18" t="s">
        <v>32</v>
      </c>
      <c r="J6" s="24">
        <v>4</v>
      </c>
    </row>
    <row r="7" spans="1:10" ht="30" customHeight="1" x14ac:dyDescent="0.2">
      <c r="A7" s="21" t="s">
        <v>33</v>
      </c>
      <c r="B7" s="17" t="s">
        <v>13</v>
      </c>
      <c r="C7" s="22" t="s">
        <v>34</v>
      </c>
      <c r="D7" s="22" t="s">
        <v>35</v>
      </c>
      <c r="E7" s="19" t="s">
        <v>16</v>
      </c>
      <c r="F7" s="22" t="s">
        <v>36</v>
      </c>
      <c r="G7" s="22" t="s">
        <v>37</v>
      </c>
      <c r="H7" s="22" t="s">
        <v>31</v>
      </c>
      <c r="I7" s="22" t="s">
        <v>38</v>
      </c>
      <c r="J7" s="23">
        <v>4</v>
      </c>
    </row>
    <row r="8" spans="1:10" ht="30" customHeight="1" x14ac:dyDescent="0.2">
      <c r="A8" s="16" t="s">
        <v>39</v>
      </c>
      <c r="B8" s="17" t="s">
        <v>13</v>
      </c>
      <c r="C8" s="18" t="s">
        <v>40</v>
      </c>
      <c r="D8" s="18" t="s">
        <v>41</v>
      </c>
      <c r="E8" s="25" t="s">
        <v>42</v>
      </c>
      <c r="F8" s="18" t="s">
        <v>43</v>
      </c>
      <c r="G8" s="18" t="s">
        <v>44</v>
      </c>
      <c r="H8" s="18" t="s">
        <v>19</v>
      </c>
      <c r="I8" s="18" t="s">
        <v>45</v>
      </c>
      <c r="J8" s="20">
        <v>5</v>
      </c>
    </row>
    <row r="9" spans="1:10" ht="30" customHeight="1" x14ac:dyDescent="0.2">
      <c r="A9" s="21" t="s">
        <v>46</v>
      </c>
      <c r="B9" s="17" t="s">
        <v>13</v>
      </c>
      <c r="C9" s="22" t="s">
        <v>47</v>
      </c>
      <c r="D9" s="22" t="s">
        <v>48</v>
      </c>
      <c r="E9" s="26" t="s">
        <v>49</v>
      </c>
      <c r="F9" s="22" t="s">
        <v>50</v>
      </c>
      <c r="G9" s="22" t="s">
        <v>18</v>
      </c>
      <c r="H9" s="22" t="s">
        <v>51</v>
      </c>
      <c r="I9" s="22" t="s">
        <v>52</v>
      </c>
      <c r="J9" s="27">
        <v>3</v>
      </c>
    </row>
    <row r="10" spans="1:10" ht="30" customHeight="1" x14ac:dyDescent="0.2">
      <c r="A10" s="16" t="s">
        <v>53</v>
      </c>
      <c r="B10" s="17" t="s">
        <v>13</v>
      </c>
      <c r="C10" s="18" t="s">
        <v>54</v>
      </c>
      <c r="D10" s="18" t="s">
        <v>55</v>
      </c>
      <c r="E10" s="26" t="s">
        <v>49</v>
      </c>
      <c r="F10" s="18" t="s">
        <v>56</v>
      </c>
      <c r="G10" s="18" t="s">
        <v>18</v>
      </c>
      <c r="H10" s="18" t="s">
        <v>51</v>
      </c>
      <c r="I10" s="18" t="s">
        <v>52</v>
      </c>
      <c r="J10" s="20">
        <v>5</v>
      </c>
    </row>
    <row r="11" spans="1:10" ht="30" customHeight="1" x14ac:dyDescent="0.2">
      <c r="A11" s="21" t="s">
        <v>57</v>
      </c>
      <c r="B11" s="28" t="s">
        <v>58</v>
      </c>
      <c r="C11" s="22" t="s">
        <v>59</v>
      </c>
      <c r="D11" s="22" t="s">
        <v>60</v>
      </c>
      <c r="E11" s="19" t="s">
        <v>16</v>
      </c>
      <c r="F11" s="22" t="s">
        <v>61</v>
      </c>
      <c r="G11" s="22" t="s">
        <v>30</v>
      </c>
      <c r="H11" s="22" t="s">
        <v>19</v>
      </c>
      <c r="I11" s="22" t="s">
        <v>25</v>
      </c>
      <c r="J11" s="29">
        <v>5</v>
      </c>
    </row>
    <row r="12" spans="1:10" ht="30" customHeight="1" x14ac:dyDescent="0.2">
      <c r="A12" s="16" t="s">
        <v>62</v>
      </c>
      <c r="B12" s="28" t="s">
        <v>58</v>
      </c>
      <c r="C12" s="18" t="s">
        <v>63</v>
      </c>
      <c r="D12" s="18" t="s">
        <v>64</v>
      </c>
      <c r="E12" s="25" t="s">
        <v>42</v>
      </c>
      <c r="F12" s="18" t="s">
        <v>65</v>
      </c>
      <c r="G12" s="18" t="s">
        <v>30</v>
      </c>
      <c r="H12" s="18" t="s">
        <v>19</v>
      </c>
      <c r="I12" s="18" t="s">
        <v>45</v>
      </c>
      <c r="J12" s="20">
        <v>5</v>
      </c>
    </row>
    <row r="13" spans="1:10" ht="30" customHeight="1" x14ac:dyDescent="0.2">
      <c r="A13" s="21" t="s">
        <v>66</v>
      </c>
      <c r="B13" s="28" t="s">
        <v>58</v>
      </c>
      <c r="C13" s="22" t="s">
        <v>67</v>
      </c>
      <c r="D13" s="22" t="s">
        <v>68</v>
      </c>
      <c r="E13" s="26" t="s">
        <v>49</v>
      </c>
      <c r="F13" s="22" t="s">
        <v>69</v>
      </c>
      <c r="G13" s="22" t="s">
        <v>30</v>
      </c>
      <c r="H13" s="22" t="s">
        <v>19</v>
      </c>
      <c r="I13" s="22" t="s">
        <v>70</v>
      </c>
      <c r="J13" s="23">
        <v>4</v>
      </c>
    </row>
    <row r="14" spans="1:10" ht="30" customHeight="1" x14ac:dyDescent="0.2">
      <c r="A14" s="16" t="s">
        <v>71</v>
      </c>
      <c r="B14" s="28" t="s">
        <v>58</v>
      </c>
      <c r="C14" s="18" t="s">
        <v>72</v>
      </c>
      <c r="D14" s="18" t="s">
        <v>73</v>
      </c>
      <c r="E14" s="26" t="s">
        <v>49</v>
      </c>
      <c r="F14" s="18" t="s">
        <v>74</v>
      </c>
      <c r="G14" s="18" t="s">
        <v>75</v>
      </c>
      <c r="H14" s="18" t="s">
        <v>51</v>
      </c>
      <c r="I14" s="18" t="s">
        <v>52</v>
      </c>
      <c r="J14" s="30">
        <v>3</v>
      </c>
    </row>
    <row r="15" spans="1:10" ht="30" customHeight="1" x14ac:dyDescent="0.2">
      <c r="A15" s="21" t="s">
        <v>76</v>
      </c>
      <c r="B15" s="28" t="s">
        <v>58</v>
      </c>
      <c r="C15" s="22" t="s">
        <v>77</v>
      </c>
      <c r="D15" s="22" t="s">
        <v>78</v>
      </c>
      <c r="E15" s="19" t="s">
        <v>16</v>
      </c>
      <c r="F15" s="22" t="s">
        <v>79</v>
      </c>
      <c r="G15" s="22" t="s">
        <v>80</v>
      </c>
      <c r="H15" s="22" t="s">
        <v>51</v>
      </c>
      <c r="I15" s="22" t="s">
        <v>81</v>
      </c>
      <c r="J15" s="23">
        <v>4</v>
      </c>
    </row>
    <row r="16" spans="1:10" ht="30" customHeight="1" x14ac:dyDescent="0.2">
      <c r="A16" s="16" t="s">
        <v>82</v>
      </c>
      <c r="B16" s="31" t="s">
        <v>83</v>
      </c>
      <c r="C16" s="18" t="s">
        <v>84</v>
      </c>
      <c r="D16" s="18" t="s">
        <v>85</v>
      </c>
      <c r="E16" s="26" t="s">
        <v>49</v>
      </c>
      <c r="F16" s="18" t="s">
        <v>86</v>
      </c>
      <c r="G16" s="18" t="s">
        <v>30</v>
      </c>
      <c r="H16" s="18" t="s">
        <v>51</v>
      </c>
      <c r="I16" s="18" t="s">
        <v>52</v>
      </c>
      <c r="J16" s="24">
        <v>4</v>
      </c>
    </row>
    <row r="17" spans="1:10" ht="30" customHeight="1" x14ac:dyDescent="0.2">
      <c r="A17" s="21" t="s">
        <v>87</v>
      </c>
      <c r="B17" s="31" t="s">
        <v>83</v>
      </c>
      <c r="C17" s="22" t="s">
        <v>88</v>
      </c>
      <c r="D17" s="22" t="s">
        <v>89</v>
      </c>
      <c r="E17" s="19" t="s">
        <v>16</v>
      </c>
      <c r="F17" s="22" t="s">
        <v>90</v>
      </c>
      <c r="G17" s="22" t="s">
        <v>30</v>
      </c>
      <c r="H17" s="22" t="s">
        <v>19</v>
      </c>
      <c r="I17" s="22" t="s">
        <v>91</v>
      </c>
      <c r="J17" s="29">
        <v>5</v>
      </c>
    </row>
    <row r="18" spans="1:10" ht="30" customHeight="1" x14ac:dyDescent="0.2">
      <c r="A18" s="16" t="s">
        <v>92</v>
      </c>
      <c r="B18" s="31" t="s">
        <v>83</v>
      </c>
      <c r="C18" s="18" t="s">
        <v>93</v>
      </c>
      <c r="D18" s="18" t="s">
        <v>94</v>
      </c>
      <c r="E18" s="26" t="s">
        <v>49</v>
      </c>
      <c r="F18" s="18" t="s">
        <v>95</v>
      </c>
      <c r="G18" s="18" t="s">
        <v>30</v>
      </c>
      <c r="H18" s="18" t="s">
        <v>31</v>
      </c>
      <c r="I18" s="18" t="s">
        <v>52</v>
      </c>
      <c r="J18" s="24">
        <v>4</v>
      </c>
    </row>
    <row r="19" spans="1:10" ht="30" customHeight="1" x14ac:dyDescent="0.2">
      <c r="A19" s="21" t="s">
        <v>96</v>
      </c>
      <c r="B19" s="31" t="s">
        <v>83</v>
      </c>
      <c r="C19" s="22" t="s">
        <v>97</v>
      </c>
      <c r="D19" s="22" t="s">
        <v>98</v>
      </c>
      <c r="E19" s="26" t="s">
        <v>49</v>
      </c>
      <c r="F19" s="22" t="s">
        <v>99</v>
      </c>
      <c r="G19" s="22" t="s">
        <v>30</v>
      </c>
      <c r="H19" s="22" t="s">
        <v>51</v>
      </c>
      <c r="I19" s="22" t="s">
        <v>52</v>
      </c>
      <c r="J19" s="23">
        <v>4</v>
      </c>
    </row>
    <row r="20" spans="1:10" ht="30" customHeight="1" x14ac:dyDescent="0.2">
      <c r="A20" s="16" t="s">
        <v>100</v>
      </c>
      <c r="B20" s="31" t="s">
        <v>83</v>
      </c>
      <c r="C20" s="18" t="s">
        <v>101</v>
      </c>
      <c r="D20" s="18" t="s">
        <v>102</v>
      </c>
      <c r="E20" s="26" t="s">
        <v>49</v>
      </c>
      <c r="F20" s="18" t="s">
        <v>103</v>
      </c>
      <c r="G20" s="18" t="s">
        <v>18</v>
      </c>
      <c r="H20" s="18" t="s">
        <v>51</v>
      </c>
      <c r="I20" s="18" t="s">
        <v>52</v>
      </c>
      <c r="J20" s="30">
        <v>3</v>
      </c>
    </row>
    <row r="21" spans="1:10" ht="30" customHeight="1" x14ac:dyDescent="0.2">
      <c r="A21" s="21" t="s">
        <v>104</v>
      </c>
      <c r="B21" s="31" t="s">
        <v>83</v>
      </c>
      <c r="C21" s="22" t="s">
        <v>105</v>
      </c>
      <c r="D21" s="22" t="s">
        <v>106</v>
      </c>
      <c r="E21" s="26" t="s">
        <v>49</v>
      </c>
      <c r="F21" s="22" t="s">
        <v>107</v>
      </c>
      <c r="G21" s="22" t="s">
        <v>30</v>
      </c>
      <c r="H21" s="22" t="s">
        <v>51</v>
      </c>
      <c r="I21" s="22" t="s">
        <v>52</v>
      </c>
      <c r="J21" s="23">
        <v>4</v>
      </c>
    </row>
    <row r="22" spans="1:10" ht="30" customHeight="1" x14ac:dyDescent="0.2">
      <c r="A22" s="16" t="s">
        <v>108</v>
      </c>
      <c r="B22" s="32" t="s">
        <v>109</v>
      </c>
      <c r="C22" s="18" t="s">
        <v>110</v>
      </c>
      <c r="D22" s="18" t="s">
        <v>111</v>
      </c>
      <c r="E22" s="26" t="s">
        <v>49</v>
      </c>
      <c r="F22" s="18" t="s">
        <v>112</v>
      </c>
      <c r="G22" s="18" t="s">
        <v>18</v>
      </c>
      <c r="H22" s="18" t="s">
        <v>51</v>
      </c>
      <c r="I22" s="18" t="s">
        <v>52</v>
      </c>
      <c r="J22" s="24">
        <v>4</v>
      </c>
    </row>
    <row r="23" spans="1:10" ht="30" customHeight="1" x14ac:dyDescent="0.2">
      <c r="A23" s="21" t="s">
        <v>113</v>
      </c>
      <c r="B23" s="32" t="s">
        <v>109</v>
      </c>
      <c r="C23" s="22" t="s">
        <v>114</v>
      </c>
      <c r="D23" s="22" t="s">
        <v>115</v>
      </c>
      <c r="E23" s="26" t="s">
        <v>49</v>
      </c>
      <c r="F23" s="22" t="s">
        <v>116</v>
      </c>
      <c r="G23" s="22" t="s">
        <v>30</v>
      </c>
      <c r="H23" s="22" t="s">
        <v>51</v>
      </c>
      <c r="I23" s="22" t="s">
        <v>52</v>
      </c>
      <c r="J23" s="27">
        <v>3</v>
      </c>
    </row>
    <row r="24" spans="1:10" ht="30" customHeight="1" x14ac:dyDescent="0.2">
      <c r="A24" s="16" t="s">
        <v>117</v>
      </c>
      <c r="B24" s="32" t="s">
        <v>109</v>
      </c>
      <c r="C24" s="18" t="s">
        <v>118</v>
      </c>
      <c r="D24" s="18" t="s">
        <v>119</v>
      </c>
      <c r="E24" s="26" t="s">
        <v>49</v>
      </c>
      <c r="F24" s="18" t="s">
        <v>120</v>
      </c>
      <c r="G24" s="18" t="s">
        <v>18</v>
      </c>
      <c r="H24" s="18" t="s">
        <v>51</v>
      </c>
      <c r="I24" s="18" t="s">
        <v>52</v>
      </c>
      <c r="J24" s="30">
        <v>3</v>
      </c>
    </row>
    <row r="25" spans="1:10" ht="30" customHeight="1" x14ac:dyDescent="0.2">
      <c r="A25" s="21" t="s">
        <v>121</v>
      </c>
      <c r="B25" s="32" t="s">
        <v>109</v>
      </c>
      <c r="C25" s="22" t="s">
        <v>122</v>
      </c>
      <c r="D25" s="22" t="s">
        <v>123</v>
      </c>
      <c r="E25" s="26" t="s">
        <v>49</v>
      </c>
      <c r="F25" s="22" t="s">
        <v>124</v>
      </c>
      <c r="G25" s="22" t="s">
        <v>30</v>
      </c>
      <c r="H25" s="22" t="s">
        <v>51</v>
      </c>
      <c r="I25" s="22" t="s">
        <v>52</v>
      </c>
      <c r="J25" s="27">
        <v>3</v>
      </c>
    </row>
    <row r="26" spans="1:10" ht="30" customHeight="1" x14ac:dyDescent="0.2">
      <c r="A26" s="16" t="s">
        <v>125</v>
      </c>
      <c r="B26" s="19" t="s">
        <v>126</v>
      </c>
      <c r="C26" s="18" t="s">
        <v>127</v>
      </c>
      <c r="D26" s="18" t="s">
        <v>128</v>
      </c>
      <c r="E26" s="26" t="s">
        <v>49</v>
      </c>
      <c r="F26" s="18" t="s">
        <v>129</v>
      </c>
      <c r="G26" s="18" t="s">
        <v>18</v>
      </c>
      <c r="H26" s="18" t="s">
        <v>19</v>
      </c>
      <c r="I26" s="18" t="s">
        <v>52</v>
      </c>
      <c r="J26" s="20">
        <v>5</v>
      </c>
    </row>
    <row r="27" spans="1:10" ht="30" customHeight="1" x14ac:dyDescent="0.2">
      <c r="A27" s="21" t="s">
        <v>130</v>
      </c>
      <c r="B27" s="19" t="s">
        <v>126</v>
      </c>
      <c r="C27" s="22" t="s">
        <v>131</v>
      </c>
      <c r="D27" s="22" t="s">
        <v>132</v>
      </c>
      <c r="E27" s="26" t="s">
        <v>49</v>
      </c>
      <c r="F27" s="22" t="s">
        <v>133</v>
      </c>
      <c r="G27" s="22" t="s">
        <v>80</v>
      </c>
      <c r="H27" s="22" t="s">
        <v>19</v>
      </c>
      <c r="I27" s="22" t="s">
        <v>52</v>
      </c>
      <c r="J27" s="23">
        <v>4</v>
      </c>
    </row>
    <row r="28" spans="1:10" ht="30" customHeight="1" x14ac:dyDescent="0.2">
      <c r="A28" s="16" t="s">
        <v>134</v>
      </c>
      <c r="B28" s="19" t="s">
        <v>126</v>
      </c>
      <c r="C28" s="18" t="s">
        <v>135</v>
      </c>
      <c r="D28" s="18" t="s">
        <v>136</v>
      </c>
      <c r="E28" s="19" t="s">
        <v>16</v>
      </c>
      <c r="F28" s="18" t="s">
        <v>137</v>
      </c>
      <c r="G28" s="18" t="s">
        <v>75</v>
      </c>
      <c r="H28" s="18" t="s">
        <v>31</v>
      </c>
      <c r="I28" s="18" t="s">
        <v>138</v>
      </c>
      <c r="J28" s="20">
        <v>5</v>
      </c>
    </row>
    <row r="29" spans="1:10" ht="30" customHeight="1" x14ac:dyDescent="0.2">
      <c r="A29" s="21" t="s">
        <v>139</v>
      </c>
      <c r="B29" s="19" t="s">
        <v>126</v>
      </c>
      <c r="C29" s="22" t="s">
        <v>140</v>
      </c>
      <c r="D29" s="22" t="s">
        <v>141</v>
      </c>
      <c r="E29" s="26" t="s">
        <v>49</v>
      </c>
      <c r="F29" s="22" t="s">
        <v>142</v>
      </c>
      <c r="G29" s="22" t="s">
        <v>30</v>
      </c>
      <c r="H29" s="22" t="s">
        <v>51</v>
      </c>
      <c r="I29" s="22" t="s">
        <v>52</v>
      </c>
      <c r="J29" s="23">
        <v>4</v>
      </c>
    </row>
    <row r="30" spans="1:10" ht="30" customHeight="1" x14ac:dyDescent="0.2">
      <c r="A30" s="16" t="s">
        <v>143</v>
      </c>
      <c r="B30" s="19" t="s">
        <v>126</v>
      </c>
      <c r="C30" s="18" t="s">
        <v>144</v>
      </c>
      <c r="D30" s="18" t="s">
        <v>145</v>
      </c>
      <c r="E30" s="26" t="s">
        <v>49</v>
      </c>
      <c r="F30" s="18" t="s">
        <v>146</v>
      </c>
      <c r="G30" s="18" t="s">
        <v>18</v>
      </c>
      <c r="H30" s="18" t="s">
        <v>51</v>
      </c>
      <c r="I30" s="18" t="s">
        <v>52</v>
      </c>
      <c r="J30" s="20">
        <v>5</v>
      </c>
    </row>
    <row r="31" spans="1:10" ht="30" customHeight="1" x14ac:dyDescent="0.2">
      <c r="A31" s="21" t="s">
        <v>147</v>
      </c>
      <c r="B31" s="19" t="s">
        <v>126</v>
      </c>
      <c r="C31" s="22" t="s">
        <v>148</v>
      </c>
      <c r="D31" s="22" t="s">
        <v>149</v>
      </c>
      <c r="E31" s="26" t="s">
        <v>49</v>
      </c>
      <c r="F31" s="22" t="s">
        <v>150</v>
      </c>
      <c r="G31" s="22" t="s">
        <v>151</v>
      </c>
      <c r="H31" s="22" t="s">
        <v>51</v>
      </c>
      <c r="I31" s="22" t="s">
        <v>52</v>
      </c>
      <c r="J31" s="27">
        <v>3</v>
      </c>
    </row>
    <row r="32" spans="1:10" ht="30" customHeight="1" x14ac:dyDescent="0.2">
      <c r="A32" s="16" t="s">
        <v>152</v>
      </c>
      <c r="B32" s="33" t="s">
        <v>153</v>
      </c>
      <c r="C32" s="18" t="s">
        <v>154</v>
      </c>
      <c r="D32" s="18" t="s">
        <v>155</v>
      </c>
      <c r="E32" s="19" t="s">
        <v>16</v>
      </c>
      <c r="F32" s="18" t="s">
        <v>156</v>
      </c>
      <c r="G32" s="18" t="s">
        <v>80</v>
      </c>
      <c r="H32" s="18" t="s">
        <v>19</v>
      </c>
      <c r="I32" s="18" t="s">
        <v>157</v>
      </c>
      <c r="J32" s="20">
        <v>5</v>
      </c>
    </row>
    <row r="33" spans="1:10" ht="30" customHeight="1" x14ac:dyDescent="0.2">
      <c r="A33" s="21" t="s">
        <v>158</v>
      </c>
      <c r="B33" s="33" t="s">
        <v>153</v>
      </c>
      <c r="C33" s="22" t="s">
        <v>159</v>
      </c>
      <c r="D33" s="22" t="s">
        <v>160</v>
      </c>
      <c r="E33" s="26" t="s">
        <v>49</v>
      </c>
      <c r="F33" s="22" t="s">
        <v>161</v>
      </c>
      <c r="G33" s="22" t="s">
        <v>162</v>
      </c>
      <c r="H33" s="22" t="s">
        <v>51</v>
      </c>
      <c r="I33" s="22" t="s">
        <v>52</v>
      </c>
      <c r="J33" s="29">
        <v>5</v>
      </c>
    </row>
    <row r="34" spans="1:10" ht="30" customHeight="1" x14ac:dyDescent="0.2">
      <c r="A34" s="16" t="s">
        <v>163</v>
      </c>
      <c r="B34" s="33" t="s">
        <v>153</v>
      </c>
      <c r="C34" s="18" t="s">
        <v>164</v>
      </c>
      <c r="D34" s="18" t="s">
        <v>165</v>
      </c>
      <c r="E34" s="19" t="s">
        <v>16</v>
      </c>
      <c r="F34" s="18" t="s">
        <v>166</v>
      </c>
      <c r="G34" s="18" t="s">
        <v>30</v>
      </c>
      <c r="H34" s="18" t="s">
        <v>19</v>
      </c>
      <c r="I34" s="18" t="s">
        <v>157</v>
      </c>
      <c r="J34" s="24">
        <v>4</v>
      </c>
    </row>
    <row r="35" spans="1:10" ht="30" customHeight="1" x14ac:dyDescent="0.2">
      <c r="A35" s="21" t="s">
        <v>167</v>
      </c>
      <c r="B35" s="33" t="s">
        <v>153</v>
      </c>
      <c r="C35" s="22" t="s">
        <v>168</v>
      </c>
      <c r="D35" s="22" t="s">
        <v>169</v>
      </c>
      <c r="E35" s="26" t="s">
        <v>49</v>
      </c>
      <c r="F35" s="22" t="s">
        <v>170</v>
      </c>
      <c r="G35" s="22" t="s">
        <v>80</v>
      </c>
      <c r="H35" s="22" t="s">
        <v>51</v>
      </c>
      <c r="I35" s="22" t="s">
        <v>52</v>
      </c>
      <c r="J35" s="29">
        <v>5</v>
      </c>
    </row>
    <row r="36" spans="1:10" ht="30" customHeight="1" x14ac:dyDescent="0.2">
      <c r="A36" s="16" t="s">
        <v>171</v>
      </c>
      <c r="B36" s="33" t="s">
        <v>153</v>
      </c>
      <c r="C36" s="18" t="s">
        <v>172</v>
      </c>
      <c r="D36" s="18" t="s">
        <v>173</v>
      </c>
      <c r="E36" s="26" t="s">
        <v>49</v>
      </c>
      <c r="F36" s="18" t="s">
        <v>174</v>
      </c>
      <c r="G36" s="18" t="s">
        <v>30</v>
      </c>
      <c r="H36" s="18" t="s">
        <v>51</v>
      </c>
      <c r="I36" s="18" t="s">
        <v>52</v>
      </c>
      <c r="J36" s="24">
        <v>4</v>
      </c>
    </row>
    <row r="37" spans="1:10" ht="30" customHeight="1" x14ac:dyDescent="0.2">
      <c r="A37" s="21" t="s">
        <v>175</v>
      </c>
      <c r="B37" s="33" t="s">
        <v>153</v>
      </c>
      <c r="C37" s="22" t="s">
        <v>176</v>
      </c>
      <c r="D37" s="22" t="s">
        <v>177</v>
      </c>
      <c r="E37" s="26" t="s">
        <v>49</v>
      </c>
      <c r="F37" s="22" t="s">
        <v>178</v>
      </c>
      <c r="G37" s="22" t="s">
        <v>80</v>
      </c>
      <c r="H37" s="22" t="s">
        <v>51</v>
      </c>
      <c r="I37" s="22" t="s">
        <v>52</v>
      </c>
      <c r="J37" s="23">
        <v>4</v>
      </c>
    </row>
    <row r="38" spans="1:10" ht="30" customHeight="1" x14ac:dyDescent="0.2">
      <c r="A38" s="16" t="s">
        <v>179</v>
      </c>
      <c r="B38" s="31" t="s">
        <v>180</v>
      </c>
      <c r="C38" s="18" t="s">
        <v>181</v>
      </c>
      <c r="D38" s="18" t="s">
        <v>182</v>
      </c>
      <c r="E38" s="19" t="s">
        <v>16</v>
      </c>
      <c r="F38" s="18" t="s">
        <v>183</v>
      </c>
      <c r="G38" s="18" t="s">
        <v>162</v>
      </c>
      <c r="H38" s="18" t="s">
        <v>51</v>
      </c>
      <c r="I38" s="18" t="s">
        <v>184</v>
      </c>
      <c r="J38" s="24">
        <v>4</v>
      </c>
    </row>
    <row r="39" spans="1:10" ht="30" customHeight="1" x14ac:dyDescent="0.2">
      <c r="A39" s="21" t="s">
        <v>185</v>
      </c>
      <c r="B39" s="31" t="s">
        <v>180</v>
      </c>
      <c r="C39" s="22" t="s">
        <v>186</v>
      </c>
      <c r="D39" s="22" t="s">
        <v>187</v>
      </c>
      <c r="E39" s="34" t="s">
        <v>188</v>
      </c>
      <c r="F39" s="22" t="s">
        <v>189</v>
      </c>
      <c r="G39" s="22" t="s">
        <v>18</v>
      </c>
      <c r="H39" s="22" t="s">
        <v>190</v>
      </c>
      <c r="I39" s="22" t="s">
        <v>191</v>
      </c>
      <c r="J39" s="29">
        <v>5</v>
      </c>
    </row>
    <row r="40" spans="1:10" ht="30" customHeight="1" x14ac:dyDescent="0.2">
      <c r="A40" s="16" t="s">
        <v>192</v>
      </c>
      <c r="B40" s="31" t="s">
        <v>180</v>
      </c>
      <c r="C40" s="18" t="s">
        <v>193</v>
      </c>
      <c r="D40" s="18" t="s">
        <v>194</v>
      </c>
      <c r="E40" s="19" t="s">
        <v>16</v>
      </c>
      <c r="F40" s="18" t="s">
        <v>195</v>
      </c>
      <c r="G40" s="18" t="s">
        <v>162</v>
      </c>
      <c r="H40" s="18" t="s">
        <v>51</v>
      </c>
      <c r="I40" s="18" t="s">
        <v>196</v>
      </c>
      <c r="J40" s="24">
        <v>4</v>
      </c>
    </row>
    <row r="41" spans="1:10" ht="30" customHeight="1" x14ac:dyDescent="0.2">
      <c r="A41" s="21" t="s">
        <v>197</v>
      </c>
      <c r="B41" s="31" t="s">
        <v>180</v>
      </c>
      <c r="C41" s="22" t="s">
        <v>198</v>
      </c>
      <c r="D41" s="22" t="s">
        <v>199</v>
      </c>
      <c r="E41" s="19" t="s">
        <v>16</v>
      </c>
      <c r="F41" s="22" t="s">
        <v>200</v>
      </c>
      <c r="G41" s="22" t="s">
        <v>201</v>
      </c>
      <c r="H41" s="22" t="s">
        <v>51</v>
      </c>
      <c r="I41" s="22" t="s">
        <v>184</v>
      </c>
      <c r="J41" s="27">
        <v>3</v>
      </c>
    </row>
    <row r="42" spans="1:10" ht="30" customHeight="1" x14ac:dyDescent="0.2">
      <c r="A42" s="16" t="s">
        <v>202</v>
      </c>
      <c r="B42" s="35" t="s">
        <v>203</v>
      </c>
      <c r="C42" s="18" t="s">
        <v>204</v>
      </c>
      <c r="D42" s="18" t="s">
        <v>205</v>
      </c>
      <c r="E42" s="26" t="s">
        <v>49</v>
      </c>
      <c r="F42" s="18" t="s">
        <v>206</v>
      </c>
      <c r="G42" s="18" t="s">
        <v>30</v>
      </c>
      <c r="H42" s="18" t="s">
        <v>31</v>
      </c>
      <c r="I42" s="18" t="s">
        <v>207</v>
      </c>
      <c r="J42" s="30">
        <v>3</v>
      </c>
    </row>
    <row r="43" spans="1:10" ht="30" customHeight="1" x14ac:dyDescent="0.2">
      <c r="A43" s="21" t="s">
        <v>208</v>
      </c>
      <c r="B43" s="35" t="s">
        <v>203</v>
      </c>
      <c r="C43" s="22" t="s">
        <v>209</v>
      </c>
      <c r="D43" s="22" t="s">
        <v>210</v>
      </c>
      <c r="E43" s="26" t="s">
        <v>49</v>
      </c>
      <c r="F43" s="22" t="s">
        <v>211</v>
      </c>
      <c r="G43" s="22" t="s">
        <v>18</v>
      </c>
      <c r="H43" s="22" t="s">
        <v>51</v>
      </c>
      <c r="I43" s="22" t="s">
        <v>52</v>
      </c>
      <c r="J43" s="27">
        <v>3</v>
      </c>
    </row>
    <row r="44" spans="1:10" ht="30" customHeight="1" x14ac:dyDescent="0.2">
      <c r="A44" s="16" t="s">
        <v>212</v>
      </c>
      <c r="B44" s="35" t="s">
        <v>203</v>
      </c>
      <c r="C44" s="18" t="s">
        <v>213</v>
      </c>
      <c r="D44" s="18" t="s">
        <v>214</v>
      </c>
      <c r="E44" s="34" t="s">
        <v>188</v>
      </c>
      <c r="F44" s="18" t="s">
        <v>215</v>
      </c>
      <c r="G44" s="18" t="s">
        <v>18</v>
      </c>
      <c r="H44" s="18" t="s">
        <v>216</v>
      </c>
      <c r="I44" s="18" t="s">
        <v>52</v>
      </c>
      <c r="J44" s="30">
        <v>3</v>
      </c>
    </row>
    <row r="45" spans="1:10" ht="30" customHeight="1" x14ac:dyDescent="0.2">
      <c r="A45" s="21" t="s">
        <v>217</v>
      </c>
      <c r="B45" s="35" t="s">
        <v>203</v>
      </c>
      <c r="C45" s="22" t="s">
        <v>218</v>
      </c>
      <c r="D45" s="22" t="s">
        <v>219</v>
      </c>
      <c r="E45" s="34" t="s">
        <v>188</v>
      </c>
      <c r="F45" s="22" t="s">
        <v>220</v>
      </c>
      <c r="G45" s="22" t="s">
        <v>18</v>
      </c>
      <c r="H45" s="22" t="s">
        <v>216</v>
      </c>
      <c r="I45" s="22" t="s">
        <v>52</v>
      </c>
      <c r="J45" s="36">
        <v>2</v>
      </c>
    </row>
    <row r="46" spans="1:10" ht="30" customHeight="1" x14ac:dyDescent="0.2">
      <c r="A46" s="16" t="s">
        <v>221</v>
      </c>
      <c r="B46" s="37" t="s">
        <v>222</v>
      </c>
      <c r="C46" s="18" t="s">
        <v>223</v>
      </c>
      <c r="D46" s="18" t="s">
        <v>224</v>
      </c>
      <c r="E46" s="34" t="s">
        <v>188</v>
      </c>
      <c r="F46" s="18" t="s">
        <v>189</v>
      </c>
      <c r="G46" s="18" t="s">
        <v>30</v>
      </c>
      <c r="H46" s="18" t="s">
        <v>190</v>
      </c>
      <c r="I46" s="18" t="s">
        <v>191</v>
      </c>
      <c r="J46" s="20">
        <v>5</v>
      </c>
    </row>
    <row r="47" spans="1:10" ht="30" customHeight="1" x14ac:dyDescent="0.2">
      <c r="A47" s="21" t="s">
        <v>225</v>
      </c>
      <c r="B47" s="37" t="s">
        <v>222</v>
      </c>
      <c r="C47" s="22" t="s">
        <v>226</v>
      </c>
      <c r="D47" s="22" t="s">
        <v>227</v>
      </c>
      <c r="E47" s="26" t="s">
        <v>49</v>
      </c>
      <c r="F47" s="22" t="s">
        <v>228</v>
      </c>
      <c r="G47" s="22" t="s">
        <v>229</v>
      </c>
      <c r="H47" s="22" t="s">
        <v>230</v>
      </c>
      <c r="I47" s="22" t="s">
        <v>52</v>
      </c>
      <c r="J47" s="27">
        <v>3</v>
      </c>
    </row>
    <row r="48" spans="1:10" ht="30" customHeight="1" x14ac:dyDescent="0.2">
      <c r="A48" s="16" t="s">
        <v>231</v>
      </c>
      <c r="B48" s="37" t="s">
        <v>222</v>
      </c>
      <c r="C48" s="18" t="s">
        <v>232</v>
      </c>
      <c r="D48" s="18" t="s">
        <v>233</v>
      </c>
      <c r="E48" s="26" t="s">
        <v>49</v>
      </c>
      <c r="F48" s="18" t="s">
        <v>234</v>
      </c>
      <c r="G48" s="18" t="s">
        <v>30</v>
      </c>
      <c r="H48" s="18" t="s">
        <v>51</v>
      </c>
      <c r="I48" s="18" t="s">
        <v>52</v>
      </c>
      <c r="J48" s="38">
        <v>2</v>
      </c>
    </row>
    <row r="49" spans="1:10" ht="30" customHeight="1" x14ac:dyDescent="0.2">
      <c r="A49" s="21" t="s">
        <v>235</v>
      </c>
      <c r="B49" s="34" t="s">
        <v>236</v>
      </c>
      <c r="C49" s="22" t="s">
        <v>237</v>
      </c>
      <c r="D49" s="22" t="s">
        <v>238</v>
      </c>
      <c r="E49" s="26" t="s">
        <v>49</v>
      </c>
      <c r="F49" s="22" t="s">
        <v>239</v>
      </c>
      <c r="G49" s="22" t="s">
        <v>80</v>
      </c>
      <c r="H49" s="22" t="s">
        <v>51</v>
      </c>
      <c r="I49" s="22" t="s">
        <v>52</v>
      </c>
      <c r="J49" s="23">
        <v>4</v>
      </c>
    </row>
    <row r="50" spans="1:10" ht="30" customHeight="1" x14ac:dyDescent="0.2">
      <c r="A50" s="16" t="s">
        <v>240</v>
      </c>
      <c r="B50" s="34" t="s">
        <v>236</v>
      </c>
      <c r="C50" s="18" t="s">
        <v>241</v>
      </c>
      <c r="D50" s="18" t="s">
        <v>242</v>
      </c>
      <c r="E50" s="19" t="s">
        <v>16</v>
      </c>
      <c r="F50" s="18" t="s">
        <v>243</v>
      </c>
      <c r="G50" s="18" t="s">
        <v>80</v>
      </c>
      <c r="H50" s="18" t="s">
        <v>19</v>
      </c>
      <c r="I50" s="18" t="s">
        <v>244</v>
      </c>
      <c r="J50" s="24">
        <v>4</v>
      </c>
    </row>
    <row r="51" spans="1:10" ht="30" customHeight="1" x14ac:dyDescent="0.2">
      <c r="A51" s="21" t="s">
        <v>245</v>
      </c>
      <c r="B51" s="34" t="s">
        <v>236</v>
      </c>
      <c r="C51" s="22" t="s">
        <v>246</v>
      </c>
      <c r="D51" s="22" t="s">
        <v>247</v>
      </c>
      <c r="E51" s="26" t="s">
        <v>49</v>
      </c>
      <c r="F51" s="22" t="s">
        <v>248</v>
      </c>
      <c r="G51" s="22" t="s">
        <v>249</v>
      </c>
      <c r="H51" s="22" t="s">
        <v>51</v>
      </c>
      <c r="I51" s="22" t="s">
        <v>52</v>
      </c>
      <c r="J51" s="23">
        <v>4</v>
      </c>
    </row>
    <row r="52" spans="1:10" ht="30" customHeight="1" x14ac:dyDescent="0.2">
      <c r="A52" s="16" t="s">
        <v>250</v>
      </c>
      <c r="B52" s="34" t="s">
        <v>236</v>
      </c>
      <c r="C52" s="18" t="s">
        <v>251</v>
      </c>
      <c r="D52" s="18" t="s">
        <v>252</v>
      </c>
      <c r="E52" s="26" t="s">
        <v>49</v>
      </c>
      <c r="F52" s="18" t="s">
        <v>253</v>
      </c>
      <c r="G52" s="18" t="s">
        <v>80</v>
      </c>
      <c r="H52" s="18" t="s">
        <v>51</v>
      </c>
      <c r="I52" s="18" t="s">
        <v>52</v>
      </c>
      <c r="J52" s="30">
        <v>3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zoomScaleNormal="100" workbookViewId="0">
      <pane ySplit="3" topLeftCell="A4" activePane="bottomLeft" state="frozen"/>
      <selection pane="bottomLeft" activeCell="D8" sqref="D8"/>
    </sheetView>
  </sheetViews>
  <sheetFormatPr baseColWidth="10" defaultColWidth="8.6640625" defaultRowHeight="15" x14ac:dyDescent="0.2"/>
  <cols>
    <col min="1" max="1" width="28" customWidth="1"/>
    <col min="2" max="2" width="38" customWidth="1"/>
    <col min="3" max="3" width="40" customWidth="1"/>
    <col min="4" max="4" width="28" customWidth="1"/>
    <col min="5" max="5" width="22" customWidth="1"/>
    <col min="6" max="6" width="48" customWidth="1"/>
  </cols>
  <sheetData>
    <row r="1" spans="1:6" ht="30" customHeight="1" x14ac:dyDescent="0.2">
      <c r="A1" s="12" t="s">
        <v>254</v>
      </c>
      <c r="B1" s="12"/>
      <c r="C1" s="12"/>
      <c r="D1" s="12"/>
      <c r="E1" s="12"/>
      <c r="F1" s="12"/>
    </row>
    <row r="2" spans="1:6" ht="18" customHeight="1" x14ac:dyDescent="0.2">
      <c r="A2" s="11" t="s">
        <v>255</v>
      </c>
      <c r="B2" s="11"/>
      <c r="C2" s="11"/>
      <c r="D2" s="11"/>
      <c r="E2" s="11"/>
      <c r="F2" s="11"/>
    </row>
    <row r="3" spans="1:6" ht="27.75" customHeight="1" x14ac:dyDescent="0.2">
      <c r="A3" s="39" t="s">
        <v>256</v>
      </c>
      <c r="B3" s="39" t="s">
        <v>257</v>
      </c>
      <c r="C3" s="39" t="s">
        <v>258</v>
      </c>
      <c r="D3" s="39" t="s">
        <v>259</v>
      </c>
      <c r="E3" s="39" t="s">
        <v>260</v>
      </c>
      <c r="F3" s="39" t="s">
        <v>261</v>
      </c>
    </row>
    <row r="4" spans="1:6" ht="42" customHeight="1" x14ac:dyDescent="0.2">
      <c r="A4" s="25" t="s">
        <v>262</v>
      </c>
      <c r="B4" s="40" t="s">
        <v>263</v>
      </c>
      <c r="C4" s="40" t="s">
        <v>264</v>
      </c>
      <c r="D4" s="40" t="s">
        <v>265</v>
      </c>
      <c r="E4" s="40" t="s">
        <v>266</v>
      </c>
      <c r="F4" s="40" t="s">
        <v>267</v>
      </c>
    </row>
    <row r="5" spans="1:6" ht="42" customHeight="1" x14ac:dyDescent="0.2">
      <c r="A5" s="41" t="s">
        <v>268</v>
      </c>
      <c r="B5" s="42" t="s">
        <v>269</v>
      </c>
      <c r="C5" s="42" t="s">
        <v>270</v>
      </c>
      <c r="D5" s="42" t="s">
        <v>271</v>
      </c>
      <c r="E5" s="42" t="s">
        <v>272</v>
      </c>
      <c r="F5" s="42" t="s">
        <v>273</v>
      </c>
    </row>
    <row r="6" spans="1:6" ht="42" customHeight="1" x14ac:dyDescent="0.2">
      <c r="A6" s="19" t="s">
        <v>274</v>
      </c>
      <c r="B6" s="43" t="s">
        <v>275</v>
      </c>
      <c r="C6" s="43" t="s">
        <v>276</v>
      </c>
      <c r="D6" s="43" t="s">
        <v>277</v>
      </c>
      <c r="E6" s="43" t="s">
        <v>277</v>
      </c>
      <c r="F6" s="43" t="s">
        <v>278</v>
      </c>
    </row>
    <row r="7" spans="1:6" ht="42" customHeight="1" x14ac:dyDescent="0.2">
      <c r="A7" s="31" t="s">
        <v>279</v>
      </c>
      <c r="B7" s="44" t="s">
        <v>280</v>
      </c>
      <c r="C7" s="44" t="s">
        <v>281</v>
      </c>
      <c r="D7" s="44" t="s">
        <v>282</v>
      </c>
      <c r="E7" s="44" t="s">
        <v>283</v>
      </c>
      <c r="F7" s="44" t="s">
        <v>284</v>
      </c>
    </row>
    <row r="8" spans="1:6" ht="42" customHeight="1" x14ac:dyDescent="0.2">
      <c r="A8" s="32" t="s">
        <v>285</v>
      </c>
      <c r="B8" s="45" t="s">
        <v>286</v>
      </c>
      <c r="C8" s="45" t="s">
        <v>287</v>
      </c>
      <c r="D8" s="45" t="s">
        <v>288</v>
      </c>
      <c r="E8" s="45" t="s">
        <v>289</v>
      </c>
      <c r="F8" s="45" t="s">
        <v>290</v>
      </c>
    </row>
    <row r="10" spans="1:6" ht="48" customHeight="1" x14ac:dyDescent="0.2">
      <c r="A10" s="10" t="s">
        <v>291</v>
      </c>
      <c r="B10" s="10"/>
      <c r="C10" s="10"/>
      <c r="D10" s="10"/>
      <c r="E10" s="10"/>
      <c r="F10" s="10"/>
    </row>
  </sheetData>
  <mergeCells count="3">
    <mergeCell ref="A1:F1"/>
    <mergeCell ref="A2:F2"/>
    <mergeCell ref="A10:F1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zoomScaleNormal="100" workbookViewId="0">
      <pane ySplit="3" topLeftCell="A4" activePane="bottomLeft" state="frozen"/>
      <selection pane="bottomLeft" activeCell="A12" sqref="A12"/>
    </sheetView>
  </sheetViews>
  <sheetFormatPr baseColWidth="10" defaultColWidth="8.6640625" defaultRowHeight="15" x14ac:dyDescent="0.2"/>
  <cols>
    <col min="1" max="2" width="30" customWidth="1"/>
    <col min="3" max="3" width="28" customWidth="1"/>
    <col min="4" max="4" width="42" customWidth="1"/>
    <col min="5" max="5" width="22" customWidth="1"/>
    <col min="6" max="6" width="32" customWidth="1"/>
    <col min="7" max="7" width="52" customWidth="1"/>
  </cols>
  <sheetData>
    <row r="1" spans="1:7" ht="30" customHeight="1" x14ac:dyDescent="0.2">
      <c r="A1" s="9" t="s">
        <v>292</v>
      </c>
      <c r="B1" s="9"/>
      <c r="C1" s="9"/>
      <c r="D1" s="9"/>
      <c r="E1" s="9"/>
      <c r="F1" s="9"/>
      <c r="G1" s="9"/>
    </row>
    <row r="2" spans="1:7" ht="18" customHeight="1" x14ac:dyDescent="0.2">
      <c r="A2" s="13" t="s">
        <v>293</v>
      </c>
      <c r="B2" s="13"/>
      <c r="C2" s="13"/>
      <c r="D2" s="13"/>
      <c r="E2" s="13"/>
      <c r="F2" s="13"/>
      <c r="G2" s="13"/>
    </row>
    <row r="3" spans="1:7" ht="27.75" customHeight="1" x14ac:dyDescent="0.2">
      <c r="A3" s="46" t="s">
        <v>294</v>
      </c>
      <c r="B3" s="46" t="s">
        <v>295</v>
      </c>
      <c r="C3" s="46" t="s">
        <v>296</v>
      </c>
      <c r="D3" s="46" t="s">
        <v>297</v>
      </c>
      <c r="E3" s="46" t="s">
        <v>8</v>
      </c>
      <c r="F3" s="46" t="s">
        <v>298</v>
      </c>
      <c r="G3" s="46" t="s">
        <v>299</v>
      </c>
    </row>
    <row r="4" spans="1:7" ht="49.5" customHeight="1" x14ac:dyDescent="0.2">
      <c r="A4" s="47" t="s">
        <v>300</v>
      </c>
      <c r="B4" s="42" t="s">
        <v>301</v>
      </c>
      <c r="C4" s="41" t="s">
        <v>302</v>
      </c>
      <c r="D4" s="42" t="s">
        <v>303</v>
      </c>
      <c r="E4" s="42" t="s">
        <v>18</v>
      </c>
      <c r="F4" s="42" t="s">
        <v>304</v>
      </c>
      <c r="G4" s="42" t="s">
        <v>305</v>
      </c>
    </row>
    <row r="5" spans="1:7" ht="49.5" customHeight="1" x14ac:dyDescent="0.2">
      <c r="A5" s="48" t="s">
        <v>300</v>
      </c>
      <c r="B5" s="18" t="s">
        <v>306</v>
      </c>
      <c r="C5" s="16" t="s">
        <v>307</v>
      </c>
      <c r="D5" s="18" t="s">
        <v>308</v>
      </c>
      <c r="E5" s="18" t="s">
        <v>309</v>
      </c>
      <c r="F5" s="18" t="s">
        <v>310</v>
      </c>
      <c r="G5" s="18" t="s">
        <v>311</v>
      </c>
    </row>
    <row r="6" spans="1:7" ht="49.5" customHeight="1" x14ac:dyDescent="0.2">
      <c r="A6" s="49" t="s">
        <v>312</v>
      </c>
      <c r="B6" s="43" t="s">
        <v>313</v>
      </c>
      <c r="C6" s="50" t="s">
        <v>314</v>
      </c>
      <c r="D6" s="43" t="s">
        <v>315</v>
      </c>
      <c r="E6" s="43" t="s">
        <v>316</v>
      </c>
      <c r="F6" s="43" t="s">
        <v>317</v>
      </c>
      <c r="G6" s="43" t="s">
        <v>318</v>
      </c>
    </row>
    <row r="7" spans="1:7" ht="49.5" customHeight="1" x14ac:dyDescent="0.2">
      <c r="A7" s="51" t="s">
        <v>319</v>
      </c>
      <c r="B7" s="44" t="s">
        <v>320</v>
      </c>
      <c r="C7" s="52" t="s">
        <v>321</v>
      </c>
      <c r="D7" s="44" t="s">
        <v>322</v>
      </c>
      <c r="E7" s="44" t="s">
        <v>323</v>
      </c>
      <c r="F7" s="44" t="s">
        <v>324</v>
      </c>
      <c r="G7" s="44" t="s">
        <v>325</v>
      </c>
    </row>
    <row r="8" spans="1:7" ht="49.5" customHeight="1" x14ac:dyDescent="0.2">
      <c r="A8" s="53" t="s">
        <v>326</v>
      </c>
      <c r="B8" s="54" t="s">
        <v>327</v>
      </c>
      <c r="C8" s="55" t="s">
        <v>328</v>
      </c>
      <c r="D8" s="54" t="s">
        <v>329</v>
      </c>
      <c r="E8" s="54" t="s">
        <v>18</v>
      </c>
      <c r="F8" s="54" t="s">
        <v>330</v>
      </c>
      <c r="G8" s="54" t="s">
        <v>331</v>
      </c>
    </row>
    <row r="9" spans="1:7" ht="49.5" customHeight="1" x14ac:dyDescent="0.2">
      <c r="A9" s="56" t="s">
        <v>332</v>
      </c>
      <c r="B9" s="40" t="s">
        <v>333</v>
      </c>
      <c r="C9" s="57" t="s">
        <v>334</v>
      </c>
      <c r="D9" s="40" t="s">
        <v>335</v>
      </c>
      <c r="E9" s="40" t="s">
        <v>336</v>
      </c>
      <c r="F9" s="40" t="s">
        <v>337</v>
      </c>
      <c r="G9" s="40" t="s">
        <v>338</v>
      </c>
    </row>
    <row r="10" spans="1:7" ht="49.5" customHeight="1" x14ac:dyDescent="0.2">
      <c r="A10" s="58" t="s">
        <v>339</v>
      </c>
      <c r="B10" s="59" t="s">
        <v>340</v>
      </c>
      <c r="C10" s="60" t="s">
        <v>341</v>
      </c>
      <c r="D10" s="59" t="s">
        <v>342</v>
      </c>
      <c r="E10" s="59" t="s">
        <v>343</v>
      </c>
      <c r="F10" s="59" t="s">
        <v>344</v>
      </c>
      <c r="G10" s="59" t="s">
        <v>345</v>
      </c>
    </row>
    <row r="11" spans="1:7" ht="49.5" customHeight="1" x14ac:dyDescent="0.2">
      <c r="A11" s="61" t="s">
        <v>346</v>
      </c>
      <c r="B11" s="45" t="s">
        <v>347</v>
      </c>
      <c r="C11" s="62" t="s">
        <v>348</v>
      </c>
      <c r="D11" s="45" t="s">
        <v>349</v>
      </c>
      <c r="E11" s="45" t="s">
        <v>350</v>
      </c>
      <c r="F11" s="45" t="s">
        <v>351</v>
      </c>
      <c r="G11" s="45" t="s">
        <v>352</v>
      </c>
    </row>
    <row r="12" spans="1:7" ht="49.5" customHeight="1" x14ac:dyDescent="0.2">
      <c r="A12" s="47" t="s">
        <v>353</v>
      </c>
      <c r="B12" s="42" t="s">
        <v>354</v>
      </c>
      <c r="C12" s="41" t="s">
        <v>355</v>
      </c>
      <c r="D12" s="42" t="s">
        <v>356</v>
      </c>
      <c r="E12" s="42" t="s">
        <v>357</v>
      </c>
      <c r="F12" s="42" t="s">
        <v>358</v>
      </c>
      <c r="G12" s="42" t="s">
        <v>359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zoomScaleNormal="100" workbookViewId="0">
      <pane ySplit="3" topLeftCell="A4" activePane="bottomLeft" state="frozen"/>
      <selection pane="bottomLeft" activeCell="C12" sqref="C12"/>
    </sheetView>
  </sheetViews>
  <sheetFormatPr baseColWidth="10" defaultColWidth="8.6640625" defaultRowHeight="15" x14ac:dyDescent="0.2"/>
  <cols>
    <col min="1" max="1" width="28" customWidth="1"/>
    <col min="2" max="2" width="34" customWidth="1"/>
    <col min="3" max="3" width="42" customWidth="1"/>
    <col min="4" max="4" width="34" customWidth="1"/>
    <col min="5" max="5" width="46" customWidth="1"/>
    <col min="6" max="6" width="16" customWidth="1"/>
  </cols>
  <sheetData>
    <row r="1" spans="1:6" ht="30" customHeight="1" x14ac:dyDescent="0.2">
      <c r="A1" s="12" t="s">
        <v>360</v>
      </c>
      <c r="B1" s="12"/>
      <c r="C1" s="12"/>
      <c r="D1" s="12"/>
      <c r="E1" s="12"/>
      <c r="F1" s="12"/>
    </row>
    <row r="2" spans="1:6" ht="18" customHeight="1" x14ac:dyDescent="0.2">
      <c r="A2" s="11" t="s">
        <v>361</v>
      </c>
      <c r="B2" s="11"/>
      <c r="C2" s="11"/>
      <c r="D2" s="11"/>
      <c r="E2" s="11"/>
      <c r="F2" s="11"/>
    </row>
    <row r="3" spans="1:6" ht="27.75" customHeight="1" x14ac:dyDescent="0.2">
      <c r="A3" s="39" t="s">
        <v>362</v>
      </c>
      <c r="B3" s="39" t="s">
        <v>363</v>
      </c>
      <c r="C3" s="39" t="s">
        <v>364</v>
      </c>
      <c r="D3" s="39" t="s">
        <v>365</v>
      </c>
      <c r="E3" s="39" t="s">
        <v>366</v>
      </c>
      <c r="F3" s="39" t="s">
        <v>367</v>
      </c>
    </row>
    <row r="4" spans="1:6" ht="37.5" customHeight="1" x14ac:dyDescent="0.2">
      <c r="A4" s="48" t="s">
        <v>368</v>
      </c>
      <c r="B4" s="18" t="s">
        <v>369</v>
      </c>
      <c r="C4" s="18" t="s">
        <v>370</v>
      </c>
      <c r="D4" s="18" t="s">
        <v>371</v>
      </c>
      <c r="E4" s="18" t="s">
        <v>372</v>
      </c>
      <c r="F4" s="20" t="s">
        <v>373</v>
      </c>
    </row>
    <row r="5" spans="1:6" ht="37.5" customHeight="1" x14ac:dyDescent="0.2">
      <c r="A5" s="63" t="s">
        <v>374</v>
      </c>
      <c r="B5" s="22" t="s">
        <v>375</v>
      </c>
      <c r="C5" s="22" t="s">
        <v>376</v>
      </c>
      <c r="D5" s="22" t="s">
        <v>377</v>
      </c>
      <c r="E5" s="22" t="s">
        <v>378</v>
      </c>
      <c r="F5" s="29" t="s">
        <v>373</v>
      </c>
    </row>
    <row r="6" spans="1:6" ht="37.5" customHeight="1" x14ac:dyDescent="0.2">
      <c r="A6" s="48" t="s">
        <v>379</v>
      </c>
      <c r="B6" s="18" t="s">
        <v>380</v>
      </c>
      <c r="C6" s="18" t="s">
        <v>381</v>
      </c>
      <c r="D6" s="18" t="s">
        <v>382</v>
      </c>
      <c r="E6" s="18" t="s">
        <v>383</v>
      </c>
      <c r="F6" s="24" t="s">
        <v>384</v>
      </c>
    </row>
    <row r="7" spans="1:6" ht="37.5" customHeight="1" x14ac:dyDescent="0.2">
      <c r="A7" s="63" t="s">
        <v>385</v>
      </c>
      <c r="B7" s="22" t="s">
        <v>386</v>
      </c>
      <c r="C7" s="22" t="s">
        <v>387</v>
      </c>
      <c r="D7" s="22" t="s">
        <v>388</v>
      </c>
      <c r="E7" s="22" t="s">
        <v>389</v>
      </c>
      <c r="F7" s="23" t="s">
        <v>384</v>
      </c>
    </row>
    <row r="8" spans="1:6" ht="37.5" customHeight="1" x14ac:dyDescent="0.2">
      <c r="A8" s="48" t="s">
        <v>390</v>
      </c>
      <c r="B8" s="18" t="s">
        <v>391</v>
      </c>
      <c r="C8" s="18" t="s">
        <v>392</v>
      </c>
      <c r="D8" s="18" t="s">
        <v>393</v>
      </c>
      <c r="E8" s="18" t="s">
        <v>394</v>
      </c>
      <c r="F8" s="24" t="s">
        <v>384</v>
      </c>
    </row>
    <row r="9" spans="1:6" ht="37.5" customHeight="1" x14ac:dyDescent="0.2">
      <c r="A9" s="63" t="s">
        <v>395</v>
      </c>
      <c r="B9" s="22" t="s">
        <v>396</v>
      </c>
      <c r="C9" s="22" t="s">
        <v>397</v>
      </c>
      <c r="D9" s="22" t="s">
        <v>398</v>
      </c>
      <c r="E9" s="22" t="s">
        <v>399</v>
      </c>
      <c r="F9" s="27" t="s">
        <v>400</v>
      </c>
    </row>
    <row r="10" spans="1:6" ht="37.5" customHeight="1" x14ac:dyDescent="0.2">
      <c r="A10" s="48" t="s">
        <v>401</v>
      </c>
      <c r="B10" s="18" t="s">
        <v>402</v>
      </c>
      <c r="C10" s="18" t="s">
        <v>403</v>
      </c>
      <c r="D10" s="18" t="s">
        <v>404</v>
      </c>
      <c r="E10" s="18" t="s">
        <v>405</v>
      </c>
      <c r="F10" s="30" t="s">
        <v>400</v>
      </c>
    </row>
    <row r="11" spans="1:6" ht="37.5" customHeight="1" x14ac:dyDescent="0.2">
      <c r="A11" s="63" t="s">
        <v>406</v>
      </c>
      <c r="B11" s="22" t="s">
        <v>407</v>
      </c>
      <c r="C11" s="22" t="s">
        <v>408</v>
      </c>
      <c r="D11" s="22" t="s">
        <v>409</v>
      </c>
      <c r="E11" s="22" t="s">
        <v>410</v>
      </c>
      <c r="F11" s="23" t="s">
        <v>384</v>
      </c>
    </row>
    <row r="12" spans="1:6" ht="37.5" customHeight="1" x14ac:dyDescent="0.2">
      <c r="A12" s="48" t="s">
        <v>411</v>
      </c>
      <c r="B12" s="18" t="s">
        <v>412</v>
      </c>
      <c r="C12" s="18" t="s">
        <v>413</v>
      </c>
      <c r="D12" s="18" t="s">
        <v>414</v>
      </c>
      <c r="E12" s="18" t="s">
        <v>415</v>
      </c>
      <c r="F12" s="30" t="s">
        <v>400</v>
      </c>
    </row>
    <row r="13" spans="1:6" ht="37.5" customHeight="1" x14ac:dyDescent="0.2">
      <c r="A13" s="63" t="s">
        <v>416</v>
      </c>
      <c r="B13" s="22" t="s">
        <v>417</v>
      </c>
      <c r="C13" s="22" t="s">
        <v>418</v>
      </c>
      <c r="D13" s="22" t="s">
        <v>419</v>
      </c>
      <c r="E13" s="22" t="s">
        <v>420</v>
      </c>
      <c r="F13" s="36" t="s">
        <v>421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9"/>
  <sheetViews>
    <sheetView zoomScaleNormal="100" workbookViewId="0">
      <pane ySplit="2" topLeftCell="A15" activePane="bottomLeft" state="frozen"/>
      <selection pane="bottomLeft" activeCell="C46" sqref="C46:F46"/>
    </sheetView>
  </sheetViews>
  <sheetFormatPr baseColWidth="10" defaultColWidth="8.6640625" defaultRowHeight="15" x14ac:dyDescent="0.2"/>
  <cols>
    <col min="1" max="1" width="24" customWidth="1"/>
    <col min="2" max="2" width="14" customWidth="1"/>
    <col min="3" max="3" width="42" customWidth="1"/>
    <col min="4" max="4" width="18" customWidth="1"/>
    <col min="5" max="5" width="12" customWidth="1"/>
    <col min="6" max="6" width="18" customWidth="1"/>
    <col min="7" max="8" width="14" customWidth="1"/>
  </cols>
  <sheetData>
    <row r="1" spans="1:8" ht="30" customHeight="1" x14ac:dyDescent="0.2">
      <c r="A1" s="9" t="s">
        <v>422</v>
      </c>
      <c r="B1" s="9"/>
      <c r="C1" s="9"/>
      <c r="D1" s="9"/>
      <c r="E1" s="9"/>
      <c r="F1" s="9"/>
      <c r="G1" s="9"/>
      <c r="H1" s="9"/>
    </row>
    <row r="2" spans="1:8" ht="7.5" customHeight="1" x14ac:dyDescent="0.2"/>
    <row r="3" spans="1:8" ht="19.5" customHeight="1" x14ac:dyDescent="0.2">
      <c r="A3" s="8" t="s">
        <v>423</v>
      </c>
      <c r="B3" s="8"/>
      <c r="C3" s="8"/>
      <c r="D3" s="8"/>
    </row>
    <row r="4" spans="1:8" ht="13.5" customHeight="1" x14ac:dyDescent="0.2">
      <c r="A4" s="64" t="s">
        <v>424</v>
      </c>
      <c r="B4" s="64" t="s">
        <v>425</v>
      </c>
      <c r="C4" s="64" t="s">
        <v>426</v>
      </c>
      <c r="D4" s="64" t="s">
        <v>427</v>
      </c>
    </row>
    <row r="5" spans="1:8" ht="18" customHeight="1" x14ac:dyDescent="0.2">
      <c r="A5" s="65" t="s">
        <v>428</v>
      </c>
      <c r="B5" s="66">
        <v>150</v>
      </c>
      <c r="C5" s="67" t="s">
        <v>429</v>
      </c>
      <c r="D5" s="68" t="s">
        <v>430</v>
      </c>
    </row>
    <row r="6" spans="1:8" ht="18" customHeight="1" x14ac:dyDescent="0.2">
      <c r="A6" s="65" t="s">
        <v>431</v>
      </c>
      <c r="B6" s="66">
        <v>2500</v>
      </c>
      <c r="C6" s="67" t="s">
        <v>432</v>
      </c>
      <c r="D6" s="68" t="s">
        <v>433</v>
      </c>
    </row>
    <row r="7" spans="1:8" ht="18" customHeight="1" x14ac:dyDescent="0.2">
      <c r="A7" s="65" t="s">
        <v>434</v>
      </c>
      <c r="B7" s="69">
        <f>B5/B6*100</f>
        <v>6</v>
      </c>
      <c r="C7" s="67" t="s">
        <v>435</v>
      </c>
      <c r="D7" s="68" t="s">
        <v>436</v>
      </c>
    </row>
    <row r="8" spans="1:8" ht="18" customHeight="1" x14ac:dyDescent="0.2">
      <c r="A8" s="65" t="s">
        <v>437</v>
      </c>
      <c r="B8" s="66">
        <v>2.2999999999999998</v>
      </c>
      <c r="C8" s="67" t="s">
        <v>438</v>
      </c>
      <c r="D8" s="68" t="s">
        <v>439</v>
      </c>
    </row>
    <row r="9" spans="1:8" ht="18" customHeight="1" x14ac:dyDescent="0.2">
      <c r="A9" s="65" t="s">
        <v>440</v>
      </c>
      <c r="B9" s="69">
        <f>B7-B8</f>
        <v>3.7</v>
      </c>
      <c r="C9" s="67" t="s">
        <v>441</v>
      </c>
      <c r="D9" s="68" t="s">
        <v>442</v>
      </c>
    </row>
    <row r="11" spans="1:8" ht="9.75" customHeight="1" x14ac:dyDescent="0.2"/>
    <row r="12" spans="1:8" ht="19.5" customHeight="1" x14ac:dyDescent="0.2">
      <c r="A12" s="7" t="s">
        <v>443</v>
      </c>
      <c r="B12" s="7"/>
      <c r="C12" s="7"/>
      <c r="D12" s="7"/>
    </row>
    <row r="13" spans="1:8" ht="13.5" customHeight="1" x14ac:dyDescent="0.2">
      <c r="A13" s="70" t="s">
        <v>424</v>
      </c>
      <c r="B13" s="70" t="s">
        <v>425</v>
      </c>
      <c r="C13" s="70" t="s">
        <v>444</v>
      </c>
      <c r="D13" s="70" t="s">
        <v>427</v>
      </c>
    </row>
    <row r="14" spans="1:8" ht="18" customHeight="1" x14ac:dyDescent="0.2">
      <c r="A14" s="71" t="s">
        <v>445</v>
      </c>
      <c r="B14" s="66">
        <v>18</v>
      </c>
      <c r="C14" s="71">
        <v>0.4</v>
      </c>
      <c r="D14" s="68" t="s">
        <v>446</v>
      </c>
    </row>
    <row r="15" spans="1:8" ht="18" customHeight="1" x14ac:dyDescent="0.2">
      <c r="A15" s="71" t="s">
        <v>447</v>
      </c>
      <c r="B15" s="66">
        <v>4.5</v>
      </c>
      <c r="C15" s="71">
        <v>0.35</v>
      </c>
      <c r="D15" s="68" t="s">
        <v>448</v>
      </c>
    </row>
    <row r="16" spans="1:8" ht="18" customHeight="1" x14ac:dyDescent="0.2">
      <c r="A16" s="71" t="s">
        <v>449</v>
      </c>
      <c r="B16" s="66">
        <v>14</v>
      </c>
      <c r="C16" s="71">
        <v>0.25</v>
      </c>
      <c r="D16" s="68" t="s">
        <v>450</v>
      </c>
    </row>
    <row r="17" spans="1:6" ht="18" customHeight="1" x14ac:dyDescent="0.2">
      <c r="A17" s="71" t="s">
        <v>451</v>
      </c>
      <c r="B17" s="72">
        <f>B14*C14+B15*C15+B16*C16</f>
        <v>12.275</v>
      </c>
      <c r="C17" s="71"/>
      <c r="D17" s="68" t="s">
        <v>452</v>
      </c>
    </row>
    <row r="19" spans="1:6" ht="9.75" customHeight="1" x14ac:dyDescent="0.2"/>
    <row r="20" spans="1:6" ht="19.5" customHeight="1" x14ac:dyDescent="0.2">
      <c r="A20" s="6" t="s">
        <v>453</v>
      </c>
      <c r="B20" s="6"/>
      <c r="C20" s="6"/>
      <c r="D20" s="6"/>
    </row>
    <row r="21" spans="1:6" ht="13.5" customHeight="1" x14ac:dyDescent="0.2">
      <c r="A21" s="73" t="s">
        <v>454</v>
      </c>
      <c r="B21" s="73" t="s">
        <v>455</v>
      </c>
      <c r="C21" s="73" t="s">
        <v>456</v>
      </c>
      <c r="D21" s="73" t="s">
        <v>457</v>
      </c>
    </row>
    <row r="22" spans="1:6" ht="15.75" customHeight="1" x14ac:dyDescent="0.2">
      <c r="A22" s="74">
        <v>1</v>
      </c>
      <c r="B22" s="75">
        <v>15060</v>
      </c>
      <c r="C22" s="76">
        <f t="shared" ref="C22:C29" si="0">B22*1.3</f>
        <v>19578</v>
      </c>
      <c r="D22" s="76">
        <f t="shared" ref="D22:D29" si="1">B22*2</f>
        <v>30120</v>
      </c>
    </row>
    <row r="23" spans="1:6" ht="15.75" customHeight="1" x14ac:dyDescent="0.2">
      <c r="A23" s="74">
        <v>2</v>
      </c>
      <c r="B23" s="75">
        <v>20440</v>
      </c>
      <c r="C23" s="76">
        <f t="shared" si="0"/>
        <v>26572</v>
      </c>
      <c r="D23" s="76">
        <f t="shared" si="1"/>
        <v>40880</v>
      </c>
    </row>
    <row r="24" spans="1:6" ht="15.75" customHeight="1" x14ac:dyDescent="0.2">
      <c r="A24" s="74">
        <v>3</v>
      </c>
      <c r="B24" s="75">
        <v>25820</v>
      </c>
      <c r="C24" s="76">
        <f t="shared" si="0"/>
        <v>33566</v>
      </c>
      <c r="D24" s="76">
        <f t="shared" si="1"/>
        <v>51640</v>
      </c>
    </row>
    <row r="25" spans="1:6" ht="15.75" customHeight="1" x14ac:dyDescent="0.2">
      <c r="A25" s="74">
        <v>4</v>
      </c>
      <c r="B25" s="75">
        <v>31200</v>
      </c>
      <c r="C25" s="76">
        <f t="shared" si="0"/>
        <v>40560</v>
      </c>
      <c r="D25" s="76">
        <f t="shared" si="1"/>
        <v>62400</v>
      </c>
    </row>
    <row r="26" spans="1:6" ht="15.75" customHeight="1" x14ac:dyDescent="0.2">
      <c r="A26" s="74">
        <v>5</v>
      </c>
      <c r="B26" s="75">
        <v>36580</v>
      </c>
      <c r="C26" s="76">
        <f t="shared" si="0"/>
        <v>47554</v>
      </c>
      <c r="D26" s="76">
        <f t="shared" si="1"/>
        <v>73160</v>
      </c>
    </row>
    <row r="27" spans="1:6" ht="15.75" customHeight="1" x14ac:dyDescent="0.2">
      <c r="A27" s="74">
        <v>6</v>
      </c>
      <c r="B27" s="75">
        <v>41960</v>
      </c>
      <c r="C27" s="76">
        <f t="shared" si="0"/>
        <v>54548</v>
      </c>
      <c r="D27" s="76">
        <f t="shared" si="1"/>
        <v>83920</v>
      </c>
    </row>
    <row r="28" spans="1:6" ht="15.75" customHeight="1" x14ac:dyDescent="0.2">
      <c r="A28" s="74">
        <v>7</v>
      </c>
      <c r="B28" s="75">
        <v>47340</v>
      </c>
      <c r="C28" s="76">
        <f t="shared" si="0"/>
        <v>61542</v>
      </c>
      <c r="D28" s="76">
        <f t="shared" si="1"/>
        <v>94680</v>
      </c>
    </row>
    <row r="29" spans="1:6" ht="15.75" customHeight="1" x14ac:dyDescent="0.2">
      <c r="A29" s="74">
        <v>8</v>
      </c>
      <c r="B29" s="75">
        <v>52720</v>
      </c>
      <c r="C29" s="76">
        <f t="shared" si="0"/>
        <v>68536</v>
      </c>
      <c r="D29" s="76">
        <f t="shared" si="1"/>
        <v>105440</v>
      </c>
    </row>
    <row r="31" spans="1:6" ht="9.75" customHeight="1" x14ac:dyDescent="0.2"/>
    <row r="32" spans="1:6" ht="19.5" customHeight="1" x14ac:dyDescent="0.2">
      <c r="A32" s="5" t="s">
        <v>458</v>
      </c>
      <c r="B32" s="5"/>
      <c r="C32" s="5"/>
      <c r="D32" s="5"/>
      <c r="E32" s="5"/>
      <c r="F32" s="5"/>
    </row>
    <row r="33" spans="1:6" ht="21.75" customHeight="1" x14ac:dyDescent="0.2">
      <c r="A33" s="77" t="s">
        <v>459</v>
      </c>
      <c r="B33" s="77" t="s">
        <v>2</v>
      </c>
      <c r="C33" s="77" t="s">
        <v>460</v>
      </c>
      <c r="D33" s="77" t="s">
        <v>425</v>
      </c>
      <c r="E33" s="77" t="s">
        <v>444</v>
      </c>
      <c r="F33" s="77" t="s">
        <v>461</v>
      </c>
    </row>
    <row r="34" spans="1:6" ht="18" customHeight="1" x14ac:dyDescent="0.2">
      <c r="A34" s="78" t="s">
        <v>462</v>
      </c>
      <c r="B34" s="79" t="s">
        <v>12</v>
      </c>
      <c r="C34" s="65" t="s">
        <v>463</v>
      </c>
      <c r="D34" s="80">
        <v>3.5</v>
      </c>
      <c r="E34" s="81">
        <v>0.2</v>
      </c>
      <c r="F34" s="82">
        <f t="shared" ref="F34:F41" si="2">D34*E34</f>
        <v>0.70000000000000007</v>
      </c>
    </row>
    <row r="35" spans="1:6" ht="18" customHeight="1" x14ac:dyDescent="0.2">
      <c r="A35" s="78" t="s">
        <v>462</v>
      </c>
      <c r="B35" s="79" t="s">
        <v>57</v>
      </c>
      <c r="C35" s="65" t="s">
        <v>445</v>
      </c>
      <c r="D35" s="80">
        <v>18</v>
      </c>
      <c r="E35" s="81">
        <v>0.15</v>
      </c>
      <c r="F35" s="82">
        <f t="shared" si="2"/>
        <v>2.6999999999999997</v>
      </c>
    </row>
    <row r="36" spans="1:6" ht="18" customHeight="1" x14ac:dyDescent="0.2">
      <c r="A36" s="83" t="s">
        <v>464</v>
      </c>
      <c r="B36" s="84" t="s">
        <v>87</v>
      </c>
      <c r="C36" s="65" t="s">
        <v>465</v>
      </c>
      <c r="D36" s="80">
        <v>45</v>
      </c>
      <c r="E36" s="81">
        <v>0.15</v>
      </c>
      <c r="F36" s="82">
        <f t="shared" si="2"/>
        <v>6.75</v>
      </c>
    </row>
    <row r="37" spans="1:6" ht="18" customHeight="1" x14ac:dyDescent="0.2">
      <c r="A37" s="83" t="s">
        <v>464</v>
      </c>
      <c r="B37" s="84" t="s">
        <v>96</v>
      </c>
      <c r="C37" s="65" t="s">
        <v>466</v>
      </c>
      <c r="D37" s="80">
        <v>22</v>
      </c>
      <c r="E37" s="81">
        <v>0.1</v>
      </c>
      <c r="F37" s="82">
        <f t="shared" si="2"/>
        <v>2.2000000000000002</v>
      </c>
    </row>
    <row r="38" spans="1:6" ht="18" customHeight="1" x14ac:dyDescent="0.2">
      <c r="A38" s="85" t="s">
        <v>467</v>
      </c>
      <c r="B38" s="85" t="s">
        <v>108</v>
      </c>
      <c r="C38" s="65" t="s">
        <v>468</v>
      </c>
      <c r="D38" s="80">
        <v>35</v>
      </c>
      <c r="E38" s="81">
        <v>0.1</v>
      </c>
      <c r="F38" s="82">
        <f t="shared" si="2"/>
        <v>3.5</v>
      </c>
    </row>
    <row r="39" spans="1:6" ht="18" customHeight="1" x14ac:dyDescent="0.2">
      <c r="A39" s="85" t="s">
        <v>467</v>
      </c>
      <c r="B39" s="85" t="s">
        <v>158</v>
      </c>
      <c r="C39" s="65" t="s">
        <v>469</v>
      </c>
      <c r="D39" s="80">
        <v>58</v>
      </c>
      <c r="E39" s="81">
        <v>0.1</v>
      </c>
      <c r="F39" s="82">
        <f t="shared" si="2"/>
        <v>5.8000000000000007</v>
      </c>
    </row>
    <row r="40" spans="1:6" ht="18" customHeight="1" x14ac:dyDescent="0.2">
      <c r="A40" s="86" t="s">
        <v>188</v>
      </c>
      <c r="B40" s="87" t="s">
        <v>134</v>
      </c>
      <c r="C40" s="65" t="s">
        <v>470</v>
      </c>
      <c r="D40" s="80">
        <v>-1.5</v>
      </c>
      <c r="E40" s="81">
        <v>0.1</v>
      </c>
      <c r="F40" s="82">
        <f t="shared" si="2"/>
        <v>-0.15000000000000002</v>
      </c>
    </row>
    <row r="41" spans="1:6" ht="18" customHeight="1" x14ac:dyDescent="0.2">
      <c r="A41" s="86" t="s">
        <v>188</v>
      </c>
      <c r="B41" s="87" t="s">
        <v>185</v>
      </c>
      <c r="C41" s="65" t="s">
        <v>471</v>
      </c>
      <c r="D41" s="80">
        <v>72</v>
      </c>
      <c r="E41" s="81">
        <v>0.1</v>
      </c>
      <c r="F41" s="82">
        <f t="shared" si="2"/>
        <v>7.2</v>
      </c>
    </row>
    <row r="42" spans="1:6" ht="24" customHeight="1" x14ac:dyDescent="0.2">
      <c r="A42" s="88"/>
      <c r="B42" s="88"/>
      <c r="C42" s="89" t="s">
        <v>472</v>
      </c>
      <c r="D42" s="88"/>
      <c r="E42" s="88"/>
      <c r="F42" s="90">
        <f>SUM(F34:F41)</f>
        <v>28.700000000000003</v>
      </c>
    </row>
    <row r="44" spans="1:6" ht="18" customHeight="1" x14ac:dyDescent="0.2">
      <c r="A44" s="8" t="s">
        <v>473</v>
      </c>
      <c r="B44" s="8"/>
      <c r="C44" s="8"/>
      <c r="D44" s="8"/>
      <c r="E44" s="8"/>
      <c r="F44" s="8"/>
    </row>
    <row r="45" spans="1:6" ht="15.75" customHeight="1" x14ac:dyDescent="0.2">
      <c r="A45" s="91" t="s">
        <v>474</v>
      </c>
      <c r="B45" s="91" t="s">
        <v>475</v>
      </c>
      <c r="C45" s="4" t="s">
        <v>476</v>
      </c>
      <c r="D45" s="4"/>
      <c r="E45" s="4"/>
      <c r="F45" s="4"/>
    </row>
    <row r="46" spans="1:6" ht="15.75" customHeight="1" x14ac:dyDescent="0.2">
      <c r="A46" s="83" t="s">
        <v>477</v>
      </c>
      <c r="B46" s="83" t="s">
        <v>478</v>
      </c>
      <c r="C46" s="3" t="s">
        <v>479</v>
      </c>
      <c r="D46" s="3"/>
      <c r="E46" s="3"/>
      <c r="F46" s="3"/>
    </row>
    <row r="47" spans="1:6" ht="15.75" customHeight="1" x14ac:dyDescent="0.2">
      <c r="A47" s="92" t="s">
        <v>480</v>
      </c>
      <c r="B47" s="92" t="s">
        <v>481</v>
      </c>
      <c r="C47" s="2" t="s">
        <v>482</v>
      </c>
      <c r="D47" s="2"/>
      <c r="E47" s="2"/>
      <c r="F47" s="2"/>
    </row>
    <row r="48" spans="1:6" ht="15.75" customHeight="1" x14ac:dyDescent="0.2">
      <c r="A48" s="78" t="s">
        <v>483</v>
      </c>
      <c r="B48" s="78" t="s">
        <v>484</v>
      </c>
      <c r="C48" s="1" t="s">
        <v>485</v>
      </c>
      <c r="D48" s="1"/>
      <c r="E48" s="1"/>
      <c r="F48" s="1"/>
    </row>
    <row r="49" spans="1:6" ht="15.75" customHeight="1" x14ac:dyDescent="0.2">
      <c r="A49" s="93" t="s">
        <v>486</v>
      </c>
      <c r="B49" s="93" t="s">
        <v>487</v>
      </c>
      <c r="C49" s="111" t="s">
        <v>488</v>
      </c>
      <c r="D49" s="111"/>
      <c r="E49" s="111"/>
      <c r="F49" s="111"/>
    </row>
  </sheetData>
  <mergeCells count="11">
    <mergeCell ref="C49:F49"/>
    <mergeCell ref="A44:F44"/>
    <mergeCell ref="C45:F45"/>
    <mergeCell ref="C46:F46"/>
    <mergeCell ref="C47:F47"/>
    <mergeCell ref="C48:F48"/>
    <mergeCell ref="A1:H1"/>
    <mergeCell ref="A3:D3"/>
    <mergeCell ref="A12:D12"/>
    <mergeCell ref="A20:D20"/>
    <mergeCell ref="A32:F3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zoomScaleNormal="100" workbookViewId="0">
      <pane ySplit="2" topLeftCell="A3" activePane="bottomLeft" state="frozen"/>
      <selection pane="bottomLeft" sqref="A1:E1"/>
    </sheetView>
  </sheetViews>
  <sheetFormatPr baseColWidth="10" defaultColWidth="8.6640625" defaultRowHeight="15" x14ac:dyDescent="0.2"/>
  <cols>
    <col min="1" max="1" width="16" customWidth="1"/>
    <col min="2" max="2" width="28" customWidth="1"/>
    <col min="3" max="3" width="48" customWidth="1"/>
    <col min="4" max="4" width="44" customWidth="1"/>
    <col min="5" max="5" width="36" customWidth="1"/>
  </cols>
  <sheetData>
    <row r="1" spans="1:5" ht="30" customHeight="1" x14ac:dyDescent="0.2">
      <c r="A1" s="9" t="s">
        <v>489</v>
      </c>
      <c r="B1" s="9"/>
      <c r="C1" s="9"/>
      <c r="D1" s="9"/>
      <c r="E1" s="9"/>
    </row>
    <row r="2" spans="1:5" ht="9.75" customHeight="1" x14ac:dyDescent="0.2"/>
    <row r="3" spans="1:5" ht="21.75" customHeight="1" x14ac:dyDescent="0.2">
      <c r="A3" s="112" t="s">
        <v>490</v>
      </c>
      <c r="B3" s="112"/>
      <c r="C3" s="112"/>
      <c r="D3" s="112"/>
      <c r="E3" s="112"/>
    </row>
    <row r="4" spans="1:5" ht="79.5" customHeight="1" x14ac:dyDescent="0.2">
      <c r="A4" s="113" t="s">
        <v>491</v>
      </c>
      <c r="B4" s="113"/>
      <c r="C4" s="113"/>
      <c r="D4" s="113"/>
      <c r="E4" s="113"/>
    </row>
    <row r="5" spans="1:5" ht="9.75" customHeight="1" x14ac:dyDescent="0.2"/>
    <row r="6" spans="1:5" ht="21.75" customHeight="1" x14ac:dyDescent="0.2">
      <c r="A6" s="114" t="s">
        <v>492</v>
      </c>
      <c r="B6" s="114"/>
      <c r="C6" s="114"/>
      <c r="D6" s="114"/>
      <c r="E6" s="114"/>
    </row>
    <row r="7" spans="1:5" ht="21.75" customHeight="1" x14ac:dyDescent="0.2">
      <c r="A7" s="39" t="s">
        <v>459</v>
      </c>
      <c r="B7" s="39" t="s">
        <v>493</v>
      </c>
      <c r="C7" s="39" t="s">
        <v>494</v>
      </c>
      <c r="D7" s="39" t="s">
        <v>495</v>
      </c>
      <c r="E7" s="39" t="s">
        <v>496</v>
      </c>
    </row>
    <row r="8" spans="1:5" ht="60" customHeight="1" x14ac:dyDescent="0.2">
      <c r="A8" s="94" t="s">
        <v>497</v>
      </c>
      <c r="B8" s="95" t="s">
        <v>498</v>
      </c>
      <c r="C8" s="18" t="s">
        <v>499</v>
      </c>
      <c r="D8" s="18" t="s">
        <v>500</v>
      </c>
      <c r="E8" s="18" t="s">
        <v>501</v>
      </c>
    </row>
    <row r="9" spans="1:5" ht="60" customHeight="1" x14ac:dyDescent="0.2">
      <c r="A9" s="96" t="s">
        <v>502</v>
      </c>
      <c r="B9" s="97" t="s">
        <v>503</v>
      </c>
      <c r="C9" s="22" t="s">
        <v>504</v>
      </c>
      <c r="D9" s="22" t="s">
        <v>505</v>
      </c>
      <c r="E9" s="22" t="s">
        <v>506</v>
      </c>
    </row>
    <row r="10" spans="1:5" ht="60" customHeight="1" x14ac:dyDescent="0.2">
      <c r="A10" s="98" t="s">
        <v>507</v>
      </c>
      <c r="B10" s="99" t="s">
        <v>508</v>
      </c>
      <c r="C10" s="18" t="s">
        <v>509</v>
      </c>
      <c r="D10" s="18" t="s">
        <v>510</v>
      </c>
      <c r="E10" s="18" t="s">
        <v>511</v>
      </c>
    </row>
    <row r="11" spans="1:5" ht="60" customHeight="1" x14ac:dyDescent="0.2">
      <c r="A11" s="100" t="s">
        <v>512</v>
      </c>
      <c r="B11" s="101" t="s">
        <v>513</v>
      </c>
      <c r="C11" s="22" t="s">
        <v>514</v>
      </c>
      <c r="D11" s="22" t="s">
        <v>515</v>
      </c>
      <c r="E11" s="22" t="s">
        <v>516</v>
      </c>
    </row>
    <row r="13" spans="1:5" ht="9.75" customHeight="1" x14ac:dyDescent="0.2"/>
    <row r="14" spans="1:5" ht="21.75" customHeight="1" x14ac:dyDescent="0.2">
      <c r="A14" s="115" t="s">
        <v>517</v>
      </c>
      <c r="B14" s="115"/>
      <c r="C14" s="115"/>
      <c r="D14" s="115"/>
      <c r="E14" s="115"/>
    </row>
    <row r="15" spans="1:5" ht="21.75" customHeight="1" x14ac:dyDescent="0.2">
      <c r="A15" s="102" t="s">
        <v>518</v>
      </c>
      <c r="B15" s="102" t="s">
        <v>519</v>
      </c>
      <c r="C15" s="102" t="s">
        <v>520</v>
      </c>
      <c r="D15" s="102" t="s">
        <v>521</v>
      </c>
      <c r="E15" s="102" t="s">
        <v>522</v>
      </c>
    </row>
    <row r="16" spans="1:5" ht="39.75" customHeight="1" x14ac:dyDescent="0.2">
      <c r="A16" s="19" t="s">
        <v>523</v>
      </c>
      <c r="B16" s="43" t="s">
        <v>524</v>
      </c>
      <c r="C16" s="43" t="s">
        <v>525</v>
      </c>
      <c r="D16" s="43" t="s">
        <v>526</v>
      </c>
      <c r="E16" s="43" t="s">
        <v>527</v>
      </c>
    </row>
    <row r="17" spans="1:5" ht="39.75" customHeight="1" x14ac:dyDescent="0.2">
      <c r="A17" s="36" t="s">
        <v>528</v>
      </c>
      <c r="B17" s="22" t="s">
        <v>529</v>
      </c>
      <c r="C17" s="22" t="s">
        <v>530</v>
      </c>
      <c r="D17" s="22" t="s">
        <v>531</v>
      </c>
      <c r="E17" s="22" t="s">
        <v>532</v>
      </c>
    </row>
    <row r="18" spans="1:5" ht="39.75" customHeight="1" x14ac:dyDescent="0.2">
      <c r="A18" s="19" t="s">
        <v>533</v>
      </c>
      <c r="B18" s="43" t="s">
        <v>534</v>
      </c>
      <c r="C18" s="43" t="s">
        <v>535</v>
      </c>
      <c r="D18" s="43" t="s">
        <v>536</v>
      </c>
      <c r="E18" s="43" t="s">
        <v>537</v>
      </c>
    </row>
    <row r="19" spans="1:5" ht="39.75" customHeight="1" x14ac:dyDescent="0.2">
      <c r="A19" s="36" t="s">
        <v>538</v>
      </c>
      <c r="B19" s="22" t="s">
        <v>539</v>
      </c>
      <c r="C19" s="22" t="s">
        <v>540</v>
      </c>
      <c r="D19" s="22" t="s">
        <v>541</v>
      </c>
      <c r="E19" s="22" t="s">
        <v>542</v>
      </c>
    </row>
    <row r="20" spans="1:5" ht="39.75" customHeight="1" x14ac:dyDescent="0.2">
      <c r="A20" s="19" t="s">
        <v>543</v>
      </c>
      <c r="B20" s="43" t="s">
        <v>544</v>
      </c>
      <c r="C20" s="43" t="s">
        <v>545</v>
      </c>
      <c r="D20" s="43" t="s">
        <v>546</v>
      </c>
      <c r="E20" s="43" t="s">
        <v>547</v>
      </c>
    </row>
  </sheetData>
  <mergeCells count="5">
    <mergeCell ref="A1:E1"/>
    <mergeCell ref="A3:E3"/>
    <mergeCell ref="A4:E4"/>
    <mergeCell ref="A6:E6"/>
    <mergeCell ref="A14:E1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5"/>
  <sheetViews>
    <sheetView zoomScaleNormal="100" workbookViewId="0">
      <selection sqref="A1:D1"/>
    </sheetView>
  </sheetViews>
  <sheetFormatPr baseColWidth="10" defaultColWidth="8.6640625" defaultRowHeight="15" x14ac:dyDescent="0.2"/>
  <cols>
    <col min="1" max="1" width="34" customWidth="1"/>
    <col min="2" max="2" width="30" customWidth="1"/>
    <col min="3" max="3" width="20" customWidth="1"/>
    <col min="4" max="4" width="30" customWidth="1"/>
  </cols>
  <sheetData>
    <row r="1" spans="1:4" ht="30" customHeight="1" x14ac:dyDescent="0.2">
      <c r="A1" s="9" t="s">
        <v>548</v>
      </c>
      <c r="B1" s="9"/>
      <c r="C1" s="9"/>
      <c r="D1" s="9"/>
    </row>
    <row r="2" spans="1:4" ht="9.75" customHeight="1" x14ac:dyDescent="0.2"/>
    <row r="3" spans="1:4" ht="18" customHeight="1" x14ac:dyDescent="0.2">
      <c r="A3" s="8" t="s">
        <v>549</v>
      </c>
      <c r="B3" s="8"/>
      <c r="C3" s="8"/>
      <c r="D3" s="8"/>
    </row>
    <row r="4" spans="1:4" ht="24" customHeight="1" x14ac:dyDescent="0.2">
      <c r="A4" s="103" t="s">
        <v>550</v>
      </c>
      <c r="B4" s="116" t="s">
        <v>551</v>
      </c>
      <c r="C4" s="116"/>
      <c r="D4" s="116"/>
    </row>
    <row r="5" spans="1:4" ht="24" customHeight="1" x14ac:dyDescent="0.2">
      <c r="A5" s="104" t="s">
        <v>552</v>
      </c>
      <c r="B5" s="117" t="s">
        <v>553</v>
      </c>
      <c r="C5" s="117"/>
      <c r="D5" s="117"/>
    </row>
    <row r="6" spans="1:4" ht="24" customHeight="1" x14ac:dyDescent="0.2">
      <c r="A6" s="94" t="s">
        <v>554</v>
      </c>
      <c r="B6" s="118" t="s">
        <v>555</v>
      </c>
      <c r="C6" s="118"/>
      <c r="D6" s="118"/>
    </row>
    <row r="7" spans="1:4" ht="24" customHeight="1" x14ac:dyDescent="0.2">
      <c r="A7" s="100" t="s">
        <v>556</v>
      </c>
      <c r="B7" s="119" t="s">
        <v>557</v>
      </c>
      <c r="C7" s="119"/>
      <c r="D7" s="119"/>
    </row>
    <row r="9" spans="1:4" ht="9.75" customHeight="1" x14ac:dyDescent="0.2"/>
    <row r="10" spans="1:4" ht="18" customHeight="1" x14ac:dyDescent="0.2">
      <c r="A10" s="5" t="s">
        <v>558</v>
      </c>
      <c r="B10" s="5"/>
      <c r="C10" s="5"/>
      <c r="D10" s="5"/>
    </row>
    <row r="11" spans="1:4" ht="19.5" customHeight="1" x14ac:dyDescent="0.2">
      <c r="A11" s="105" t="s">
        <v>559</v>
      </c>
      <c r="B11" s="120" t="s">
        <v>560</v>
      </c>
      <c r="C11" s="120"/>
      <c r="D11" s="120"/>
    </row>
    <row r="12" spans="1:4" ht="19.5" customHeight="1" x14ac:dyDescent="0.2">
      <c r="A12" s="106" t="s">
        <v>561</v>
      </c>
      <c r="B12" s="120" t="s">
        <v>562</v>
      </c>
      <c r="C12" s="120"/>
      <c r="D12" s="120"/>
    </row>
    <row r="13" spans="1:4" ht="19.5" customHeight="1" x14ac:dyDescent="0.2">
      <c r="A13" s="107" t="s">
        <v>563</v>
      </c>
      <c r="B13" s="120" t="s">
        <v>564</v>
      </c>
      <c r="C13" s="120"/>
      <c r="D13" s="120"/>
    </row>
    <row r="14" spans="1:4" ht="19.5" customHeight="1" x14ac:dyDescent="0.2">
      <c r="A14" s="108" t="s">
        <v>565</v>
      </c>
      <c r="B14" s="120" t="s">
        <v>566</v>
      </c>
      <c r="C14" s="120"/>
      <c r="D14" s="120"/>
    </row>
    <row r="15" spans="1:4" ht="19.5" customHeight="1" x14ac:dyDescent="0.2">
      <c r="A15" s="109" t="s">
        <v>567</v>
      </c>
      <c r="B15" s="120" t="s">
        <v>568</v>
      </c>
      <c r="C15" s="120"/>
      <c r="D15" s="120"/>
    </row>
    <row r="17" spans="1:4" ht="9.75" customHeight="1" x14ac:dyDescent="0.2"/>
    <row r="18" spans="1:4" ht="18" customHeight="1" x14ac:dyDescent="0.2">
      <c r="A18" s="121" t="s">
        <v>569</v>
      </c>
      <c r="B18" s="121"/>
      <c r="C18" s="121"/>
      <c r="D18" s="121"/>
    </row>
    <row r="19" spans="1:4" ht="21.75" customHeight="1" x14ac:dyDescent="0.2">
      <c r="A19" s="110" t="s">
        <v>570</v>
      </c>
      <c r="B19" s="117" t="s">
        <v>571</v>
      </c>
      <c r="C19" s="117"/>
      <c r="D19" s="117"/>
    </row>
    <row r="20" spans="1:4" ht="21.75" customHeight="1" x14ac:dyDescent="0.2">
      <c r="A20" s="110" t="s">
        <v>572</v>
      </c>
      <c r="B20" s="117" t="s">
        <v>573</v>
      </c>
      <c r="C20" s="117"/>
      <c r="D20" s="117"/>
    </row>
    <row r="21" spans="1:4" ht="21.75" customHeight="1" x14ac:dyDescent="0.2">
      <c r="A21" s="110" t="s">
        <v>574</v>
      </c>
      <c r="B21" s="117" t="s">
        <v>575</v>
      </c>
      <c r="C21" s="117"/>
      <c r="D21" s="117"/>
    </row>
    <row r="22" spans="1:4" ht="21.75" customHeight="1" x14ac:dyDescent="0.2">
      <c r="A22" s="110" t="s">
        <v>576</v>
      </c>
      <c r="B22" s="117" t="s">
        <v>577</v>
      </c>
      <c r="C22" s="117"/>
      <c r="D22" s="117"/>
    </row>
    <row r="23" spans="1:4" ht="21.75" customHeight="1" x14ac:dyDescent="0.2">
      <c r="A23" s="110" t="s">
        <v>578</v>
      </c>
      <c r="B23" s="117" t="s">
        <v>579</v>
      </c>
      <c r="C23" s="117"/>
      <c r="D23" s="117"/>
    </row>
    <row r="24" spans="1:4" ht="21.75" customHeight="1" x14ac:dyDescent="0.2">
      <c r="A24" s="110" t="s">
        <v>580</v>
      </c>
      <c r="B24" s="117" t="s">
        <v>581</v>
      </c>
      <c r="C24" s="117"/>
      <c r="D24" s="117"/>
    </row>
    <row r="25" spans="1:4" ht="21.75" customHeight="1" x14ac:dyDescent="0.2">
      <c r="A25" s="110" t="s">
        <v>582</v>
      </c>
      <c r="B25" s="117" t="s">
        <v>583</v>
      </c>
      <c r="C25" s="117"/>
      <c r="D25" s="117"/>
    </row>
  </sheetData>
  <mergeCells count="20">
    <mergeCell ref="B21:D21"/>
    <mergeCell ref="B22:D22"/>
    <mergeCell ref="B23:D23"/>
    <mergeCell ref="B24:D24"/>
    <mergeCell ref="B25:D25"/>
    <mergeCell ref="B14:D14"/>
    <mergeCell ref="B15:D15"/>
    <mergeCell ref="A18:D18"/>
    <mergeCell ref="B19:D19"/>
    <mergeCell ref="B20:D20"/>
    <mergeCell ref="B7:D7"/>
    <mergeCell ref="A10:D10"/>
    <mergeCell ref="B11:D11"/>
    <mergeCell ref="B12:D12"/>
    <mergeCell ref="B13:D13"/>
    <mergeCell ref="A1:D1"/>
    <mergeCell ref="A3:D3"/>
    <mergeCell ref="B4:D4"/>
    <mergeCell ref="B5:D5"/>
    <mergeCell ref="B6:D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📊 Master Data Points</vt:lpstr>
      <vt:lpstr>📏 Poverty Metrics Comparison</vt:lpstr>
      <vt:lpstr>🔬 Predictive Models</vt:lpstr>
      <vt:lpstr>🗄️ Data Governance</vt:lpstr>
      <vt:lpstr>🔧 Conversion Tools</vt:lpstr>
      <vt:lpstr>📋 Framework &amp; Hypothesis</vt:lpstr>
      <vt:lpstr>📖 Legend &amp;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Tahner Green</cp:lastModifiedBy>
  <cp:revision>0</cp:revision>
  <dcterms:created xsi:type="dcterms:W3CDTF">2026-04-20T02:02:05Z</dcterms:created>
  <dcterms:modified xsi:type="dcterms:W3CDTF">2026-04-23T22:16:19Z</dcterms:modified>
  <dc:language>en-US</dc:language>
</cp:coreProperties>
</file>